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ope" sheetId="2" state="visible" r:id="rId4"/>
    <sheet name="PC parts" sheetId="3" state="visible" r:id="rId5"/>
    <sheet name="Trade history" sheetId="4" state="visible" r:id="rId6"/>
    <sheet name="Components" sheetId="5" state="visible" r:id="rId7"/>
    <sheet name="Rev 4b BOM" sheetId="6" state="visible" r:id="rId8"/>
  </sheets>
  <definedNames>
    <definedName function="false" hidden="true" localSheetId="4" name="_xlnm._FilterDatabase" vbProcedure="false">Components!$A$1:$M$158</definedName>
    <definedName function="false" hidden="true" localSheetId="5" name="_xlnm._FilterDatabase" vbProcedure="false">'Rev 4b BOM'!$A$1:$I$56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<sst xmlns="http://schemas.openxmlformats.org/spreadsheetml/2006/main" count="1817" uniqueCount="606">
  <si>
    <t xml:space="preserve">Build cost summary</t>
  </si>
  <si>
    <t xml:space="preserve">EUR to NOK rate</t>
  </si>
  <si>
    <t xml:space="preserve">Input. Mid-market rate, Jul 2026 (latest found via web search). Edit to update all EUR lines.</t>
  </si>
  <si>
    <t xml:space="preserve">Category</t>
  </si>
  <si>
    <t xml:space="preserve">Subcategory</t>
  </si>
  <si>
    <t xml:space="preserve">NOK</t>
  </si>
  <si>
    <t xml:space="preserve">Share</t>
  </si>
  <si>
    <t xml:space="preserve">Water cooling</t>
  </si>
  <si>
    <t xml:space="preserve">Pump &amp; reservoir</t>
  </si>
  <si>
    <t xml:space="preserve">Radiators</t>
  </si>
  <si>
    <t xml:space="preserve">Blocks</t>
  </si>
  <si>
    <t xml:space="preserve">Valves &amp; quick disconnects</t>
  </si>
  <si>
    <t xml:space="preserve">Fittings</t>
  </si>
  <si>
    <t xml:space="preserve">Tubing</t>
  </si>
  <si>
    <t xml:space="preserve">Coolant</t>
  </si>
  <si>
    <t xml:space="preserve">Sensors</t>
  </si>
  <si>
    <t xml:space="preserve">Filling, testing &amp; tools</t>
  </si>
  <si>
    <t xml:space="preserve">CPU delid &amp; thermal</t>
  </si>
  <si>
    <t xml:space="preserve">Delid tools</t>
  </si>
  <si>
    <t xml:space="preserve">Direct-die</t>
  </si>
  <si>
    <t xml:space="preserve">Liquid metal</t>
  </si>
  <si>
    <t xml:space="preserve">Paste &amp; putty</t>
  </si>
  <si>
    <t xml:space="preserve">Thermal pads</t>
  </si>
  <si>
    <t xml:space="preserve">Protection</t>
  </si>
  <si>
    <t xml:space="preserve">PC build &amp; cabling</t>
  </si>
  <si>
    <t xml:space="preserve">PSU cable mod</t>
  </si>
  <si>
    <t xml:space="preserve">Internal connectivity</t>
  </si>
  <si>
    <t xml:space="preserve">Mounting</t>
  </si>
  <si>
    <t xml:space="preserve">Controller electronics</t>
  </si>
  <si>
    <t xml:space="preserve">Microcontroller &amp; modules</t>
  </si>
  <si>
    <t xml:space="preserve">Semiconductors</t>
  </si>
  <si>
    <t xml:space="preserve">LEDs</t>
  </si>
  <si>
    <t xml:space="preserve">Passives</t>
  </si>
  <si>
    <t xml:space="preserve">Fuses &amp; holders</t>
  </si>
  <si>
    <t xml:space="preserve">Connectors &amp; switches</t>
  </si>
  <si>
    <t xml:space="preserve">Wire &amp; cable</t>
  </si>
  <si>
    <t xml:space="preserve">Insulation</t>
  </si>
  <si>
    <t xml:space="preserve">Prototyping &amp; mounting</t>
  </si>
  <si>
    <t xml:space="preserve">Tools &amp; workshop</t>
  </si>
  <si>
    <t xml:space="preserve">Tools</t>
  </si>
  <si>
    <t xml:space="preserve">Consumables</t>
  </si>
  <si>
    <t xml:space="preserve">Workspace</t>
  </si>
  <si>
    <t xml:space="preserve">Shipping, fees &amp; discounts</t>
  </si>
  <si>
    <t xml:space="preserve">Shipping</t>
  </si>
  <si>
    <t xml:space="preserve">Discounts</t>
  </si>
  <si>
    <t xml:space="preserve">Import MVA (estimate)</t>
  </si>
  <si>
    <t xml:space="preserve">Offsets</t>
  </si>
  <si>
    <t xml:space="preserve">Sold parts</t>
  </si>
  <si>
    <t xml:space="preserve">Not project</t>
  </si>
  <si>
    <t xml:space="preserve">Personal</t>
  </si>
  <si>
    <t xml:space="preserve">Total, all lines</t>
  </si>
  <si>
    <t xml:space="preserve">  of which being added to Proshop order</t>
  </si>
  <si>
    <t xml:space="preserve">  of which estimates</t>
  </si>
  <si>
    <t xml:space="preserve">  of which not project</t>
  </si>
  <si>
    <t xml:space="preserve">Project total (excl. not project)</t>
  </si>
  <si>
    <t xml:space="preserve">Shop</t>
  </si>
  <si>
    <t xml:space="preserve">AliExpress</t>
  </si>
  <si>
    <t xml:space="preserve">Finn.no (used)</t>
  </si>
  <si>
    <t xml:space="preserve">Bykski (Order #EU4231)</t>
  </si>
  <si>
    <t xml:space="preserve">Alphacool</t>
  </si>
  <si>
    <t xml:space="preserve">Order #81860</t>
  </si>
  <si>
    <t xml:space="preserve">Proshop</t>
  </si>
  <si>
    <t xml:space="preserve">CS Megastore</t>
  </si>
  <si>
    <t xml:space="preserve">MDPC-X</t>
  </si>
  <si>
    <t xml:space="preserve">Import MVA (est.)</t>
  </si>
  <si>
    <t xml:space="preserve">Sold (offset)</t>
  </si>
  <si>
    <t xml:space="preserve">Total</t>
  </si>
  <si>
    <t xml:space="preserve">Scope: in-case loop vs external extension</t>
  </si>
  <si>
    <t xml:space="preserve">Scope is set per line in Components, column M (blue = editable). Change it there and this sheet updates.</t>
  </si>
  <si>
    <t xml:space="preserve">Scope</t>
  </si>
  <si>
    <t xml:space="preserve">In-case loop</t>
  </si>
  <si>
    <t xml:space="preserve">External extension</t>
  </si>
  <si>
    <t xml:space="preserve">Project total</t>
  </si>
  <si>
    <t xml:space="preserve">Excludes the Not project line (screen protector).</t>
  </si>
  <si>
    <t xml:space="preserve">Scope / category</t>
  </si>
  <si>
    <t xml:space="preserve">Share of scope</t>
  </si>
  <si>
    <t xml:space="preserve">PC parts: bought vs listing price</t>
  </si>
  <si>
    <t xml:space="preserve">Blue = input (prices from Vlad). Bought and listing prices are per unit. Net bought = qty x bought + offset (credits negative, losses positive).</t>
  </si>
  <si>
    <t xml:space="preserve">Part</t>
  </si>
  <si>
    <t xml:space="preserve">Spec</t>
  </si>
  <si>
    <t xml:space="preserve">Qty</t>
  </si>
  <si>
    <t xml:space="preserve">Bought / unit</t>
  </si>
  <si>
    <t xml:space="preserve">Offset (+ adds / - credits)</t>
  </si>
  <si>
    <t xml:space="preserve">Listing / unit</t>
  </si>
  <si>
    <t xml:space="preserve">Net bought</t>
  </si>
  <si>
    <t xml:space="preserve">Listing total</t>
  </si>
  <si>
    <t xml:space="preserve">Saved</t>
  </si>
  <si>
    <t xml:space="preserve">Saved %</t>
  </si>
  <si>
    <t xml:space="preserve">Note</t>
  </si>
  <si>
    <t xml:space="preserve">Intel Core Ultra 7 270K Plus</t>
  </si>
  <si>
    <t xml:space="preserve">CPU</t>
  </si>
  <si>
    <t xml:space="preserve">Offset 2 100 kr from selling the 285K (itself offset by the RAM sale)</t>
  </si>
  <si>
    <t xml:space="preserve">ASUS ROG Maximus Z890 Apex</t>
  </si>
  <si>
    <t xml:space="preserve">Motherboard</t>
  </si>
  <si>
    <t xml:space="preserve">G.Skill TZ5CK</t>
  </si>
  <si>
    <t xml:space="preserve">DDR5 8400 CUDIMM</t>
  </si>
  <si>
    <t xml:space="preserve">Listing = current price</t>
  </si>
  <si>
    <t xml:space="preserve">HyperX Fury SSD</t>
  </si>
  <si>
    <t xml:space="preserve">PCIe 4.0</t>
  </si>
  <si>
    <t xml:space="preserve">Corsair RM1000e</t>
  </si>
  <si>
    <t xml:space="preserve">PSU</t>
  </si>
  <si>
    <t xml:space="preserve">Offset 1 000 kr from the same RAM sale as the 270K offset</t>
  </si>
  <si>
    <t xml:space="preserve">Noctua NF-A12x25 G2</t>
  </si>
  <si>
    <t xml:space="preserve">120 mm fan</t>
  </si>
  <si>
    <t xml:space="preserve">Noctua NF-A12x25 G1</t>
  </si>
  <si>
    <t xml:space="preserve">ASUS TUF RTX 4070 Ti Super</t>
  </si>
  <si>
    <t xml:space="preserve">GPU</t>
  </si>
  <si>
    <t xml:space="preserve">Loss on the old 4070 Ti: bought 6 200, sold 5 000</t>
  </si>
  <si>
    <t xml:space="preserve">Whole build</t>
  </si>
  <si>
    <t xml:space="preserve">Cooling &amp; mod project (Scope sheet)</t>
  </si>
  <si>
    <t xml:space="preserve">PC parts (net bought)</t>
  </si>
  <si>
    <t xml:space="preserve">Total value of all parts</t>
  </si>
  <si>
    <t xml:space="preserve">Cooling &amp; mod parts (at cost, excl. sold-parts offset)</t>
  </si>
  <si>
    <t xml:space="preserve">PC parts (listing value)</t>
  </si>
  <si>
    <t xml:space="preserve">Cooling parts have no listing price, so they are valued at what was paid (incl. shipping and import MVA). The 1 650 kr rebate is excluded since it is not a part.</t>
  </si>
  <si>
    <t xml:space="preserve">Trade history: hardware bought, sold and kept</t>
  </si>
  <si>
    <t xml:space="preserve">Blue = amounts from Vlad. Yellow = assumption to confirm. Green = current value linked from the PC parts sheet.</t>
  </si>
  <si>
    <t xml:space="preserve">Purchases</t>
  </si>
  <si>
    <t xml:space="preserve">Deal</t>
  </si>
  <si>
    <t xml:space="preserve">What was bought</t>
  </si>
  <si>
    <t xml:space="preserve">Price paid</t>
  </si>
  <si>
    <t xml:space="preserve">Bundle: 285K, Z890 TUF, 64 GB Kingston Server Premier 4800, RM1000e, be quiet! 802, Cooler Master 360 AIO, Samsung 500 GB SSD</t>
  </si>
  <si>
    <t xml:space="preserve">G.Skill TZ5RK (AliExpress)</t>
  </si>
  <si>
    <t xml:space="preserve">ASUS ROG Strix Z890-F</t>
  </si>
  <si>
    <t xml:space="preserve">Lightloop 360 AIO</t>
  </si>
  <si>
    <t xml:space="preserve">HyperX Fury 2 TB PCIe 4.0 SSD</t>
  </si>
  <si>
    <t xml:space="preserve">RTX 4070 Ti</t>
  </si>
  <si>
    <t xml:space="preserve">Bundle: ASUS TUF 4070 Ti Super (5 700) + Corsair RM850e (500)</t>
  </si>
  <si>
    <t xml:space="preserve">Bundle: 265KF, Z890 Eagle WiFi 7, 48 GB TZ5CK, Peerless Assassin 140</t>
  </si>
  <si>
    <t xml:space="preserve">Contact frame</t>
  </si>
  <si>
    <t xml:space="preserve">Total bought</t>
  </si>
  <si>
    <t xml:space="preserve">Items &amp; outcome</t>
  </si>
  <si>
    <t xml:space="preserve">Item</t>
  </si>
  <si>
    <t xml:space="preserve">Outcome</t>
  </si>
  <si>
    <t xml:space="preserve">Sold for</t>
  </si>
  <si>
    <t xml:space="preserve">Current value (kept)</t>
  </si>
  <si>
    <t xml:space="preserve">Intel Core Ultra 9 285K</t>
  </si>
  <si>
    <t xml:space="preserve">Sold</t>
  </si>
  <si>
    <t xml:space="preserve">ASUS TUF Z890</t>
  </si>
  <si>
    <t xml:space="preserve">Kingston Server Premier 64 GB 4800</t>
  </si>
  <si>
    <t xml:space="preserve">Kept, this rig</t>
  </si>
  <si>
    <t xml:space="preserve">be quiet! 802</t>
  </si>
  <si>
    <t xml:space="preserve">Kept, other rig</t>
  </si>
  <si>
    <t xml:space="preserve">Not valued</t>
  </si>
  <si>
    <t xml:space="preserve">Cooler Master 360 AIO</t>
  </si>
  <si>
    <t xml:space="preserve">Samsung 500 GB SSD</t>
  </si>
  <si>
    <t xml:space="preserve">Sold in bundle</t>
  </si>
  <si>
    <t xml:space="preserve">See bundle sale line</t>
  </si>
  <si>
    <t xml:space="preserve">G.Skill TZ5RK</t>
  </si>
  <si>
    <t xml:space="preserve">Its 1 500 kr share of the bundle sale is used as part of the 1 650 kr Scope rebate</t>
  </si>
  <si>
    <t xml:space="preserve">HyperX Fury 2 TB SSD</t>
  </si>
  <si>
    <t xml:space="preserve">Confirmed</t>
  </si>
  <si>
    <t xml:space="preserve">Corsair RM850e</t>
  </si>
  <si>
    <t xml:space="preserve">Kept, spare</t>
  </si>
  <si>
    <t xml:space="preserve">Kept as a spare for now; not valued</t>
  </si>
  <si>
    <t xml:space="preserve">Intel Core Ultra 7 265KF</t>
  </si>
  <si>
    <t xml:space="preserve">Gigabyte Z890 Eagle WiFi 7</t>
  </si>
  <si>
    <t xml:space="preserve">G.Skill TZ5CK 48 GB</t>
  </si>
  <si>
    <t xml:space="preserve">Thermalright Peerless Assassin 140</t>
  </si>
  <si>
    <t xml:space="preserve">Sold separately; part of the 1 650 kr Scope rebate</t>
  </si>
  <si>
    <t xml:space="preserve">-</t>
  </si>
  <si>
    <t xml:space="preserve">Bundle sale: 265KF + TZ5RK + Strix Z890-F + Lightloop 360 + Samsung 500 GB</t>
  </si>
  <si>
    <t xml:space="preserve">Sold (bundle)</t>
  </si>
  <si>
    <t xml:space="preserve">Result</t>
  </si>
  <si>
    <t xml:space="preserve">Total sold</t>
  </si>
  <si>
    <t xml:space="preserve">Net cash into hardware (bought - sold)</t>
  </si>
  <si>
    <t xml:space="preserve">Current value kept in this rig</t>
  </si>
  <si>
    <t xml:space="preserve">Value gained on trades (this rig)</t>
  </si>
  <si>
    <t xml:space="preserve">Not valued: be quiet! 802 and CM 360 AIO (kept in another rig) and the RM850e (spare). The 270K Plus and Noctua fans were bought outside these trades.</t>
  </si>
  <si>
    <t xml:space="preserve">#</t>
  </si>
  <si>
    <t xml:space="preserve">Spec / variant</t>
  </si>
  <si>
    <t xml:space="preserve">Currency</t>
  </si>
  <si>
    <t xml:space="preserve">Price NOK (incl. MVA)</t>
  </si>
  <si>
    <t xml:space="preserve">Status</t>
  </si>
  <si>
    <t xml:space="preserve">Bykski B-UL-D5-X-V4 D5 pump + reservoir</t>
  </si>
  <si>
    <t xml:space="preserve">100 mm reservoir</t>
  </si>
  <si>
    <t xml:space="preserve">Awaiting delivery</t>
  </si>
  <si>
    <t xml:space="preserve">EKWB D5 pump + reservoir</t>
  </si>
  <si>
    <t xml:space="preserve">Used</t>
  </si>
  <si>
    <t xml:space="preserve">Bought (used)</t>
  </si>
  <si>
    <t xml:space="preserve">1 300 kr Finn bundle, split by estimated used value</t>
  </si>
  <si>
    <t xml:space="preserve">Bykski 360 mm radiator D40 V2</t>
  </si>
  <si>
    <t xml:space="preserve">Full copper</t>
  </si>
  <si>
    <t xml:space="preserve">Ordered</t>
  </si>
  <si>
    <t xml:space="preserve">Ex-MVA price + 25% MVA</t>
  </si>
  <si>
    <t xml:space="preserve">EK XE 240 radiator</t>
  </si>
  <si>
    <t xml:space="preserve">60 mm, used (outdoor)</t>
  </si>
  <si>
    <t xml:space="preserve">120 mm radiator</t>
  </si>
  <si>
    <t xml:space="preserve">30 mm, used (rear)</t>
  </si>
  <si>
    <t xml:space="preserve">GPU water block ASUS TUF 4070 Ti</t>
  </si>
  <si>
    <t xml:space="preserve">Incl. backplate</t>
  </si>
  <si>
    <t xml:space="preserve">Ex-MVA price + 25% MVA (rounded to match order total)</t>
  </si>
  <si>
    <t xml:space="preserve">IceManCooler dual-channel memory water block</t>
  </si>
  <si>
    <t xml:space="preserve">Black</t>
  </si>
  <si>
    <t xml:space="preserve">Bykski DDR5 RAM heatsink (water cooling)</t>
  </si>
  <si>
    <t xml:space="preserve">2 pcs</t>
  </si>
  <si>
    <t xml:space="preserve">Motorized ball valve CR02</t>
  </si>
  <si>
    <t xml:space="preserve">3-way, 12 V DC, DN15</t>
  </si>
  <si>
    <t xml:space="preserve">Processing</t>
  </si>
  <si>
    <t xml:space="preserve">AICANTEC solenoid valve</t>
  </si>
  <si>
    <t xml:space="preserve">12 V DC, 1/2"</t>
  </si>
  <si>
    <t xml:space="preserve">12 V DC, 1/4"</t>
  </si>
  <si>
    <t xml:space="preserve">EUR</t>
  </si>
  <si>
    <t xml:space="preserve">Bykski hand-tighten drain valve G1/4</t>
  </si>
  <si>
    <t xml:space="preserve">Alphacool Eiszapfen quick-release coupling G1/4 AG</t>
  </si>
  <si>
    <t xml:space="preserve">Deep Black</t>
  </si>
  <si>
    <t xml:space="preserve">Alphacool Eiszapfen quick-release connector G1/4 IG</t>
  </si>
  <si>
    <t xml:space="preserve">Barrow THKN-3/8-B03 compression fitting</t>
  </si>
  <si>
    <t xml:space="preserve">10/13 mm, black</t>
  </si>
  <si>
    <t xml:space="preserve">Barrow soft-tube compression fittings</t>
  </si>
  <si>
    <t xml:space="preserve">ID10/OD13, black, 12-pack</t>
  </si>
  <si>
    <t xml:space="preserve">10x13 Flex Fitting V2</t>
  </si>
  <si>
    <t xml:space="preserve">Alphacool HF 13/10 screw-on barb G1/4</t>
  </si>
  <si>
    <t xml:space="preserve">Bykski 3-way cubic splitter G1/4</t>
  </si>
  <si>
    <t xml:space="preserve">Freezemod Y-splitter</t>
  </si>
  <si>
    <t xml:space="preserve">Cube adapter 3-way</t>
  </si>
  <si>
    <t xml:space="preserve">Alphacool HF 5-way distributor G1/4 IG</t>
  </si>
  <si>
    <t xml:space="preserve">Alphacool Eiszapfen L-connector rotatable G1/4</t>
  </si>
  <si>
    <t xml:space="preserve">Deep Black, 4-pack</t>
  </si>
  <si>
    <t xml:space="preserve">Bykski extension fitting F-M</t>
  </si>
  <si>
    <t xml:space="preserve">Black, 7.5 mm</t>
  </si>
  <si>
    <t xml:space="preserve">Extension M/F</t>
  </si>
  <si>
    <t xml:space="preserve">Bykski B-DTJ-MI mini double male</t>
  </si>
  <si>
    <t xml:space="preserve">Brass hex bushing</t>
  </si>
  <si>
    <t xml:space="preserve">F1/4 to M1/2</t>
  </si>
  <si>
    <t xml:space="preserve">G1/4 knurled stop plug</t>
  </si>
  <si>
    <t xml:space="preserve">White</t>
  </si>
  <si>
    <t xml:space="preserve">Alphacool HF slot panel "Panama"</t>
  </si>
  <si>
    <t xml:space="preserve">PCI slot pass-through</t>
  </si>
  <si>
    <t xml:space="preserve">Bykski 10x13 PVC tube</t>
  </si>
  <si>
    <t xml:space="preserve">Clear, 3 m</t>
  </si>
  <si>
    <t xml:space="preserve">Alphacool EPDM tube 13/10</t>
  </si>
  <si>
    <t xml:space="preserve">Black, 3.3 m</t>
  </si>
  <si>
    <t xml:space="preserve">Double Protect Ultra 1 L</t>
  </si>
  <si>
    <t xml:space="preserve">Clear</t>
  </si>
  <si>
    <t xml:space="preserve">Ethylene glycol pure 500 ml (WARCHEM)</t>
  </si>
  <si>
    <t xml:space="preserve">No MVA charged</t>
  </si>
  <si>
    <t xml:space="preserve">Bykski B-PD5-TMR temperature probe</t>
  </si>
  <si>
    <t xml:space="preserve">Silver</t>
  </si>
  <si>
    <t xml:space="preserve">Bykski temperature sensor plug G1/4</t>
  </si>
  <si>
    <t xml:space="preserve">Bykski Leak Tester V5 (B-DTH-K40-V5)</t>
  </si>
  <si>
    <t xml:space="preserve">Fill bottle 250 ml</t>
  </si>
  <si>
    <t xml:space="preserve">24-pin ATX bridging plug</t>
  </si>
  <si>
    <t xml:space="preserve">Hose cutter</t>
  </si>
  <si>
    <t xml:space="preserve">Thermal Grizzly Delid-Die-Mate V1 (1851)</t>
  </si>
  <si>
    <t xml:space="preserve">Used with the Heater (melts indium on 270K Plus)</t>
  </si>
  <si>
    <t xml:space="preserve">Thermal Grizzly Delid-Die-Mate Heater V1 (1851)</t>
  </si>
  <si>
    <t xml:space="preserve">TG-DDMH-i1851-V1</t>
  </si>
  <si>
    <t xml:space="preserve">Thermal Grizzly Mycro Direct-Die Pro RG (1851)</t>
  </si>
  <si>
    <t xml:space="preserve">Thermal Grizzly Conductonaut Extreme</t>
  </si>
  <si>
    <t xml:space="preserve">Thermal Grizzly liquid metal applicator</t>
  </si>
  <si>
    <t xml:space="preserve">3 pcs</t>
  </si>
  <si>
    <t xml:space="preserve">Halnziye HY-P17 thermal paste</t>
  </si>
  <si>
    <t xml:space="preserve">4 g</t>
  </si>
  <si>
    <t xml:space="preserve">Incl. ~100 kr shipping</t>
  </si>
  <si>
    <t xml:space="preserve">Thermal Grizzly Putty Pro</t>
  </si>
  <si>
    <t xml:space="preserve">30 g</t>
  </si>
  <si>
    <t xml:space="preserve">Adding to order</t>
  </si>
  <si>
    <t xml:space="preserve">Being added to the open Proshop order (no extra shipping)</t>
  </si>
  <si>
    <t xml:space="preserve">Thermal Grizzly Minus Pad Pro</t>
  </si>
  <si>
    <t xml:space="preserve">120x20x0.5 mm, 2 pcs</t>
  </si>
  <si>
    <t xml:space="preserve">Thermal Grizzly Minus Pad Advance</t>
  </si>
  <si>
    <t xml:space="preserve">100x100x2.0 mm</t>
  </si>
  <si>
    <t xml:space="preserve">Thermal Grizzly Minus Pad HC</t>
  </si>
  <si>
    <t xml:space="preserve">120x100x1 mm, 2 pcs</t>
  </si>
  <si>
    <t xml:space="preserve">120x100x2 mm, 2 pcs</t>
  </si>
  <si>
    <t xml:space="preserve">Thermal Grizzly GPU Guard</t>
  </si>
  <si>
    <t xml:space="preserve">NVIDIA 4090/5090/5080</t>
  </si>
  <si>
    <t xml:space="preserve">Fits AD103 (same die size as GB203); being added to the open Proshop order</t>
  </si>
  <si>
    <t xml:space="preserve">LGA-17xx/18xx CPU socket cover</t>
  </si>
  <si>
    <t xml:space="preserve">Black, 10 pcs</t>
  </si>
  <si>
    <t xml:space="preserve">CPU inner support blister (Intel)</t>
  </si>
  <si>
    <t xml:space="preserve">10 pcs</t>
  </si>
  <si>
    <t xml:space="preserve">Kapton high-temp tape</t>
  </si>
  <si>
    <t xml:space="preserve">33 m, 5 mm</t>
  </si>
  <si>
    <t xml:space="preserve">Share of multi-item order total</t>
  </si>
  <si>
    <t xml:space="preserve">33 m, 10 mm</t>
  </si>
  <si>
    <t xml:space="preserve">33 m, 15 mm</t>
  </si>
  <si>
    <t xml:space="preserve">MDPC-X 17 AWG hook-up wire</t>
  </si>
  <si>
    <t xml:space="preserve">C-White</t>
  </si>
  <si>
    <t xml:space="preserve">No MVA charged; qty as invoiced</t>
  </si>
  <si>
    <t xml:space="preserve">MDPC-X sleeving MICRO</t>
  </si>
  <si>
    <t xml:space="preserve">Haze-Grey</t>
  </si>
  <si>
    <t xml:space="preserve">Vanilla-Sands</t>
  </si>
  <si>
    <t xml:space="preserve">MDPC-X connector 24-pin ATX</t>
  </si>
  <si>
    <t xml:space="preserve">MDPC-X connector 18-pin ATX</t>
  </si>
  <si>
    <t xml:space="preserve">MDPC-X connector 10-pin ATX</t>
  </si>
  <si>
    <t xml:space="preserve">MDPC-X connector 8-pin ATX/EPS</t>
  </si>
  <si>
    <t xml:space="preserve">MDPC-X connector 6-pin ATX</t>
  </si>
  <si>
    <t xml:space="preserve">MDPC-X 8-pin PCI-E connector (Molex)</t>
  </si>
  <si>
    <t xml:space="preserve">MDPC-X crimp terminal ATX female</t>
  </si>
  <si>
    <t xml:space="preserve">PET braided cable sleeve</t>
  </si>
  <si>
    <t xml:space="preserve">Grey, 12 mm, 5 m</t>
  </si>
  <si>
    <t xml:space="preserve">White, 12 mm, 5 m</t>
  </si>
  <si>
    <t xml:space="preserve">White, 4 mm, 5 m</t>
  </si>
  <si>
    <t xml:space="preserve">White, 2 mm, 5 m</t>
  </si>
  <si>
    <t xml:space="preserve">PSU modding pin removal tool</t>
  </si>
  <si>
    <t xml:space="preserve">Cable comb tool set</t>
  </si>
  <si>
    <t xml:space="preserve">USB 3.2 Gen2x2 20 Gbps front panel cable</t>
  </si>
  <si>
    <t xml:space="preserve">50 cm, black</t>
  </si>
  <si>
    <t xml:space="preserve">SATA 15-pin M-F extension</t>
  </si>
  <si>
    <t xml:space="preserve">32 cm</t>
  </si>
  <si>
    <t xml:space="preserve">SATA to 4-pin fan splitter</t>
  </si>
  <si>
    <t xml:space="preserve">1-to-1</t>
  </si>
  <si>
    <t xml:space="preserve">Estimate</t>
  </si>
  <si>
    <t xml:space="preserve">Order total not visible: unit price + 25%</t>
  </si>
  <si>
    <t xml:space="preserve">Okvyuan 5 V 3-pin ARGB hub</t>
  </si>
  <si>
    <t xml:space="preserve">SATA powered</t>
  </si>
  <si>
    <t xml:space="preserve">Neon 5 V 3-pin ARGB strip</t>
  </si>
  <si>
    <t xml:space="preserve">1 pc, no plug</t>
  </si>
  <si>
    <t xml:space="preserve">Hook &amp; loop (velcro) tape</t>
  </si>
  <si>
    <t xml:space="preserve">Black, 20 mm, 5 m</t>
  </si>
  <si>
    <t xml:space="preserve">MEGA2560 R3 (CH340)</t>
  </si>
  <si>
    <t xml:space="preserve">Incl. Type-C cable</t>
  </si>
  <si>
    <t xml:space="preserve">Relay module 2-channel</t>
  </si>
  <si>
    <t xml:space="preserve">24 V</t>
  </si>
  <si>
    <t xml:space="preserve">12 V</t>
  </si>
  <si>
    <t xml:space="preserve">SHT31 temperature/humidity module</t>
  </si>
  <si>
    <t xml:space="preserve">1 pc</t>
  </si>
  <si>
    <t xml:space="preserve">SHT30 temperature/humidity module</t>
  </si>
  <si>
    <t xml:space="preserve">IRLB8721 MOSFET TO-220</t>
  </si>
  <si>
    <t xml:space="preserve">20 pcs</t>
  </si>
  <si>
    <t xml:space="preserve">IRF4905 MOSFET</t>
  </si>
  <si>
    <t xml:space="preserve">BC547/BC557 transistors</t>
  </si>
  <si>
    <t xml:space="preserve">50 pcs (25 each)</t>
  </si>
  <si>
    <t xml:space="preserve">SB560 Schottky diode</t>
  </si>
  <si>
    <t xml:space="preserve">1N5819 Schottky diode</t>
  </si>
  <si>
    <t xml:space="preserve">100 pcs</t>
  </si>
  <si>
    <t xml:space="preserve">RGB LED 5 mm diffused</t>
  </si>
  <si>
    <t xml:space="preserve">Common cathode, 36 pcs</t>
  </si>
  <si>
    <t xml:space="preserve">Common anode, 15 pcs</t>
  </si>
  <si>
    <t xml:space="preserve">LED kit 3/5 mm round</t>
  </si>
  <si>
    <t xml:space="preserve">5 mm box</t>
  </si>
  <si>
    <t xml:space="preserve">1 W 1% metal film resistor</t>
  </si>
  <si>
    <t xml:space="preserve">220 ohm, 50 pcs</t>
  </si>
  <si>
    <t xml:space="preserve">330 ohm, 50 pcs</t>
  </si>
  <si>
    <t xml:space="preserve">1/4 W metal film resistor</t>
  </si>
  <si>
    <t xml:space="preserve">10 kohm, 100 pcs</t>
  </si>
  <si>
    <t xml:space="preserve">4.7 kohm, 100 pcs</t>
  </si>
  <si>
    <t xml:space="preserve">220 kohm, 100 pcs</t>
  </si>
  <si>
    <t xml:space="preserve">3296W trimmer potentiometer</t>
  </si>
  <si>
    <t xml:space="preserve">10 kohm, 10 pcs</t>
  </si>
  <si>
    <t xml:space="preserve">Ceramic capacitor 50 V (YXYchip)</t>
  </si>
  <si>
    <t xml:space="preserve">100 nF, 100 pcs</t>
  </si>
  <si>
    <t xml:space="preserve">Ceramic capacitor 50 V (VENTENY)</t>
  </si>
  <si>
    <t xml:space="preserve">Electrolytic capacitor</t>
  </si>
  <si>
    <t xml:space="preserve">470 uF 25 V 8x12, 20 pcs</t>
  </si>
  <si>
    <t xml:space="preserve">Electrolytic capacitor NHG</t>
  </si>
  <si>
    <t xml:space="preserve">10 uF 16 V 4x5, 30 pcs</t>
  </si>
  <si>
    <t xml:space="preserve">Ferrite ring core</t>
  </si>
  <si>
    <t xml:space="preserve">3.5 mm, black, 10 pcs</t>
  </si>
  <si>
    <t xml:space="preserve">Glass fuse 5x20 slow blow</t>
  </si>
  <si>
    <t xml:space="preserve">1 A, 5 pcs</t>
  </si>
  <si>
    <t xml:space="preserve">3.15 A, 5 pcs</t>
  </si>
  <si>
    <t xml:space="preserve">4 A, 5 pcs</t>
  </si>
  <si>
    <t xml:space="preserve">6.3 A, 5 pcs</t>
  </si>
  <si>
    <t xml:space="preserve">Panel-mount PCB fuse holder 5x20</t>
  </si>
  <si>
    <t xml:space="preserve">Waterproof inline mini blade fuse holder</t>
  </si>
  <si>
    <t xml:space="preserve">18 AWG, 5 A, 1 pair</t>
  </si>
  <si>
    <t xml:space="preserve">GX12 aviation plug male + female</t>
  </si>
  <si>
    <t xml:space="preserve">2P</t>
  </si>
  <si>
    <t xml:space="preserve">3P</t>
  </si>
  <si>
    <t xml:space="preserve">4P</t>
  </si>
  <si>
    <t xml:space="preserve">5P</t>
  </si>
  <si>
    <t xml:space="preserve">6P</t>
  </si>
  <si>
    <t xml:space="preserve">KF2510 (2540) housing M+F</t>
  </si>
  <si>
    <t xml:space="preserve">4P, 10 sets</t>
  </si>
  <si>
    <t xml:space="preserve">KF128 2.54 mm PCB screw terminal</t>
  </si>
  <si>
    <t xml:space="preserve">4P, 5 pcs</t>
  </si>
  <si>
    <t xml:space="preserve">2.54 mm single-row pin header</t>
  </si>
  <si>
    <t xml:space="preserve">2.54 mm jumper caps (long)</t>
  </si>
  <si>
    <t xml:space="preserve">Black, 100 pcs</t>
  </si>
  <si>
    <t xml:space="preserve">Dupont crimp pins</t>
  </si>
  <si>
    <t xml:space="preserve">Male, 200 pcs</t>
  </si>
  <si>
    <t xml:space="preserve">Female, 200 pcs</t>
  </si>
  <si>
    <t xml:space="preserve">Dupont housings</t>
  </si>
  <si>
    <t xml:space="preserve">1-pin, 500 pcs</t>
  </si>
  <si>
    <t xml:space="preserve">2-pin, 200 pcs</t>
  </si>
  <si>
    <t xml:space="preserve">Dupont jumper wires</t>
  </si>
  <si>
    <t xml:space="preserve">30 cm, 1 set</t>
  </si>
  <si>
    <t xml:space="preserve">SS12F15 slide switch</t>
  </si>
  <si>
    <t xml:space="preserve">RVV cable 2-core</t>
  </si>
  <si>
    <t xml:space="preserve">18 AWG 0.75 mm2, 2 m</t>
  </si>
  <si>
    <t xml:space="preserve">RVSP shielded twisted pair 2-core</t>
  </si>
  <si>
    <t xml:space="preserve">22 AWG 0.3 mm2, black, 10 m</t>
  </si>
  <si>
    <t xml:space="preserve">UL2464 sheathed cable 2-core</t>
  </si>
  <si>
    <t xml:space="preserve">20 AWG, black, 10 m</t>
  </si>
  <si>
    <t xml:space="preserve">UL2464 sheathed cable 6-core</t>
  </si>
  <si>
    <t xml:space="preserve">24 AWG, black, 10 m</t>
  </si>
  <si>
    <t xml:space="preserve">Heat shrink 3:1 with glue</t>
  </si>
  <si>
    <t xml:space="preserve">White, 3.2 mm, 3 m</t>
  </si>
  <si>
    <t xml:space="preserve">Heat shrink 3:1 dual-wall</t>
  </si>
  <si>
    <t xml:space="preserve">Black, 3.2 mm, 2 m</t>
  </si>
  <si>
    <t xml:space="preserve">Black, 7.9 mm, 2 m</t>
  </si>
  <si>
    <t xml:space="preserve">Double-sided prototype PCB</t>
  </si>
  <si>
    <t xml:space="preserve">5x7 cm, 5 pcs</t>
  </si>
  <si>
    <t xml:space="preserve">Nylon M3 standoff/screw kit</t>
  </si>
  <si>
    <t xml:space="preserve">650 pcs</t>
  </si>
  <si>
    <t xml:space="preserve">ST7789 IPS display 1.69" (MSP1691)</t>
  </si>
  <si>
    <t xml:space="preserve">240x280, 4-wire SPI, 3.3 V</t>
  </si>
  <si>
    <t xml:space="preserve">Ordered both sizes, one gets used; Price not logged yet</t>
  </si>
  <si>
    <t xml:space="preserve">ST7789 IPS display 1.9" (MSP1901)</t>
  </si>
  <si>
    <t xml:space="preserve">170x320, 4-wire SPI, 3.3 V</t>
  </si>
  <si>
    <t xml:space="preserve">0.91" I2C OLED display module</t>
  </si>
  <si>
    <t xml:space="preserve">Blue, 128x32</t>
  </si>
  <si>
    <t xml:space="preserve">UMLIFE Store; 2 x 18.92 kr; not used in rev 4b (ST7789 instead)</t>
  </si>
  <si>
    <t xml:space="preserve">Metal film resistor kit 1/4 W ±1%</t>
  </si>
  <si>
    <t xml:space="preserve">30 values, 600 pcs</t>
  </si>
  <si>
    <t xml:space="preserve">UMLIFE Store; covers 47k, 20k, 2k, 1k, 100k, 150 and 100 ohm for rev 4b</t>
  </si>
  <si>
    <t xml:space="preserve">100 uF 16 V, 40 pcs</t>
  </si>
  <si>
    <t xml:space="preserve">LXQY Store; Board 2 5 V bulk cap</t>
  </si>
  <si>
    <t xml:space="preserve">4-pin PWM fan header (motherboard style)</t>
  </si>
  <si>
    <t xml:space="preserve">2.54 mm, 20 pcs</t>
  </si>
  <si>
    <t xml:space="preserve">Bought</t>
  </si>
  <si>
    <t xml:space="preserve">Price not logged yet</t>
  </si>
  <si>
    <t xml:space="preserve">Right-angle shrouded IDC box header</t>
  </si>
  <si>
    <t xml:space="preserve">34-pin (2x17), 2.54 mm, pack of 10</t>
  </si>
  <si>
    <t xml:space="preserve">To order</t>
  </si>
  <si>
    <t xml:space="preserve">Rev 4b uses 3: Board 1 ribbon, Board 2 ribbon, Board 2 Mega ribbon</t>
  </si>
  <si>
    <t xml:space="preserve">IDC female socket FC-34P</t>
  </si>
  <si>
    <t xml:space="preserve">34-pin, for 1.27 mm ribbon</t>
  </si>
  <si>
    <t xml:space="preserve">2 for Board 1-2 ribbon, 1 for the Mega ribbon</t>
  </si>
  <si>
    <t xml:space="preserve">Dupont multi-pin housings</t>
  </si>
  <si>
    <t xml:space="preserve">1x6 x2, 1x4 x3, 2x2 x1</t>
  </si>
  <si>
    <t xml:space="preserve">Optional: Mega-end groups; can gang 1-pin/2-pin housings instead</t>
  </si>
  <si>
    <t xml:space="preserve">Flat ribbon cable 28 AWG</t>
  </si>
  <si>
    <t xml:space="preserve">1.27 mm pitch</t>
  </si>
  <si>
    <t xml:space="preserve">Already on hand; Price not logged yet</t>
  </si>
  <si>
    <t xml:space="preserve">6x8 cm (22x27 holes), 10 pcs</t>
  </si>
  <si>
    <t xml:space="preserve">Kjell &amp; Company</t>
  </si>
  <si>
    <t xml:space="preserve">Rev 4b uses 2 (power + logic); Price not logged yet</t>
  </si>
  <si>
    <t xml:space="preserve">YE-12MB crimping tool</t>
  </si>
  <si>
    <t xml:space="preserve">Leaded solder 63/37 rosin core</t>
  </si>
  <si>
    <t xml:space="preserve">1.0 mm, 100 g</t>
  </si>
  <si>
    <t xml:space="preserve">Antistatic ESD silicone soldering mat</t>
  </si>
  <si>
    <t xml:space="preserve">S-160, 45x30 cm</t>
  </si>
  <si>
    <t xml:space="preserve">Shipping, Bykski (Order #EU4231)</t>
  </si>
  <si>
    <t xml:space="preserve">Shipping, Alphacool (DHL Premium)</t>
  </si>
  <si>
    <t xml:space="preserve">Shipping, MDPC-X (DHL)</t>
  </si>
  <si>
    <t xml:space="preserve">Shipping, CS Megastore (Instabox)</t>
  </si>
  <si>
    <t xml:space="preserve">Shipping, Order #81860</t>
  </si>
  <si>
    <t xml:space="preserve">Alphacool 10% voucher</t>
  </si>
  <si>
    <t xml:space="preserve">Import MVA, MDPC-X order</t>
  </si>
  <si>
    <t xml:space="preserve">25% of MDPC-X total</t>
  </si>
  <si>
    <t xml:space="preserve">Carrier handling fees not included</t>
  </si>
  <si>
    <t xml:space="preserve">Import MVA, Alphacool + #81860 orders</t>
  </si>
  <si>
    <t xml:space="preserve">25% of Alphacool + #81860 totals</t>
  </si>
  <si>
    <t xml:space="preserve">Sold Lightloop 360 AIO</t>
  </si>
  <si>
    <t xml:space="preserve">Share of the 12 490 kr bundle sale</t>
  </si>
  <si>
    <t xml:space="preserve">See Trade history</t>
  </si>
  <si>
    <t xml:space="preserve">Sold contact frame</t>
  </si>
  <si>
    <t xml:space="preserve">Bought for 60 kr</t>
  </si>
  <si>
    <t xml:space="preserve">Screen protector iPhone 18 Pro Max</t>
  </si>
  <si>
    <t xml:space="preserve">5 pcs, HD glass</t>
  </si>
  <si>
    <t xml:space="preserve">Legend: blue = price as shown on receipt/order page (input). Black = formula. Multi-item order totals are split across their lines in proportion to the listed unit prices.</t>
  </si>
  <si>
    <t xml:space="preserve">All prices incl. MVA where the shop charged it. MDPC-X, Order #81860 and (likely) Alphacool charged none; see the Import MVA estimate line.</t>
  </si>
  <si>
    <t xml:space="preserve">Board</t>
  </si>
  <si>
    <t xml:space="preserve">Refs</t>
  </si>
  <si>
    <t xml:space="preserve">Value / spec</t>
  </si>
  <si>
    <t xml:space="preserve">Qty needed</t>
  </si>
  <si>
    <t xml:space="preserve">Components #</t>
  </si>
  <si>
    <t xml:space="preserve">Status (from Components)</t>
  </si>
  <si>
    <t xml:space="preserve">Board 1</t>
  </si>
  <si>
    <t xml:space="preserve">F1–F3</t>
  </si>
  <si>
    <t xml:space="preserve">5x20 PCB fuse clip holder</t>
  </si>
  <si>
    <t xml:space="preserve">25.5x9 mm, clip pins nudged to 9 holes</t>
  </si>
  <si>
    <t xml:space="preserve">F1</t>
  </si>
  <si>
    <t xml:space="preserve">3.15 A (pump)</t>
  </si>
  <si>
    <t xml:space="preserve">F2, F3</t>
  </si>
  <si>
    <t xml:space="preserve">1 A (fans; solenoid + valve)</t>
  </si>
  <si>
    <t xml:space="preserve">C1</t>
  </si>
  <si>
    <t xml:space="preserve">470 uF 25 V, legs bent to 5.08 mm</t>
  </si>
  <si>
    <t xml:space="preserve">M1, M2, M3</t>
  </si>
  <si>
    <t xml:space="preserve">IRF4905 P-channel MOSFET</t>
  </si>
  <si>
    <t xml:space="preserve">TO-220; valve open, valve close, pump 2 high-side</t>
  </si>
  <si>
    <t xml:space="preserve">M4</t>
  </si>
  <si>
    <t xml:space="preserve">IRLB8721 N-channel MOSFET</t>
  </si>
  <si>
    <t xml:space="preserve">TO-220; solenoid low-side</t>
  </si>
  <si>
    <t xml:space="preserve">T1, T2, T3</t>
  </si>
  <si>
    <t xml:space="preserve">BC547 NPN transistor</t>
  </si>
  <si>
    <t xml:space="preserve">TO-92 gate drivers</t>
  </si>
  <si>
    <t xml:space="preserve">D1, D2</t>
  </si>
  <si>
    <t xml:space="preserve">Valve output flyback</t>
  </si>
  <si>
    <t xml:space="preserve">R1, R3, R5</t>
  </si>
  <si>
    <t xml:space="preserve">Resistor 47k</t>
  </si>
  <si>
    <t xml:space="preserve">Fuse-sense divider top</t>
  </si>
  <si>
    <t xml:space="preserve">R2, R4, R6</t>
  </si>
  <si>
    <t xml:space="preserve">Resistor 20k</t>
  </si>
  <si>
    <t xml:space="preserve">Fuse-sense divider bottom</t>
  </si>
  <si>
    <t xml:space="preserve">R7, R8, R9, R10</t>
  </si>
  <si>
    <t xml:space="preserve">Resistor 10k</t>
  </si>
  <si>
    <t xml:space="preserve">Gate pull-ups x3, M4 gate pull-down</t>
  </si>
  <si>
    <t xml:space="preserve">T1b, T2b, T3b</t>
  </si>
  <si>
    <t xml:space="preserve">Resistor 1k</t>
  </si>
  <si>
    <t xml:space="preserve">Base resistors</t>
  </si>
  <si>
    <t xml:space="preserve">T1p, T2p, T3p</t>
  </si>
  <si>
    <t xml:space="preserve">Resistor 100k</t>
  </si>
  <si>
    <t xml:space="preserve">Base pull-downs</t>
  </si>
  <si>
    <t xml:space="preserve">R11</t>
  </si>
  <si>
    <t xml:space="preserve">Resistor 100 ohm</t>
  </si>
  <si>
    <t xml:space="preserve">M4 gate resistor</t>
  </si>
  <si>
    <t xml:space="preserve">X1–X4</t>
  </si>
  <si>
    <t xml:space="preserve">KF128 4P screw terminal</t>
  </si>
  <si>
    <t xml:space="preserve">2.54 mm, slid together along row AA</t>
  </si>
  <si>
    <t xml:space="preserve">FAN1, FAN2, PUMP</t>
  </si>
  <si>
    <t xml:space="preserve">4-pin PWM fan header</t>
  </si>
  <si>
    <t xml:space="preserve">Fans rotated, pin 1 GND on the right</t>
  </si>
  <si>
    <t xml:space="preserve">RIB</t>
  </si>
  <si>
    <t xml:space="preserve">Right-angle shrouded IDC header 34-pin</t>
  </si>
  <si>
    <t xml:space="preserve">To Board 2, pin 1 at K21</t>
  </si>
  <si>
    <t xml:space="preserve">—</t>
  </si>
  <si>
    <t xml:space="preserve">Prototype PCB 6x8 cm</t>
  </si>
  <si>
    <t xml:space="preserve">Board 1 (power)</t>
  </si>
  <si>
    <t xml:space="preserve">Board 2</t>
  </si>
  <si>
    <t xml:space="preserve">MEGA, RIB</t>
  </si>
  <si>
    <t xml:space="preserve">Mega ribbon (pin 1 at D1) + Board 1 ribbon (pin 1 at K21)</t>
  </si>
  <si>
    <t xml:space="preserve">SHT, PANEL, DISP, NTC</t>
  </si>
  <si>
    <t xml:space="preserve">2.54 mm single-row male header</t>
  </si>
  <si>
    <t xml:space="preserve">18 pins: 1x4, 1x6, 1x6, 1x2 cut from strips</t>
  </si>
  <si>
    <t xml:space="preserve">Cs1–Cs3, Cn1–Cn3, Cb1, Cb2</t>
  </si>
  <si>
    <t xml:space="preserve">Ceramic capacitor 100 nF</t>
  </si>
  <si>
    <t xml:space="preserve">Sense, NTC and button filters</t>
  </si>
  <si>
    <t xml:space="preserve">C5V</t>
  </si>
  <si>
    <t xml:space="preserve">100 uF 16 V, 5 V bulk</t>
  </si>
  <si>
    <t xml:space="preserve">R1–R6, R9, R10</t>
  </si>
  <si>
    <t xml:space="preserve">NTC pull-ups x3 (1%), tach pull-ups x3, button pull-ups x2</t>
  </si>
  <si>
    <t xml:space="preserve">R7, R8</t>
  </si>
  <si>
    <t xml:space="preserve">Resistor 4.7k</t>
  </si>
  <si>
    <t xml:space="preserve">I2C pull-ups</t>
  </si>
  <si>
    <t xml:space="preserve">R11, R12, R16, R18, R20, R22</t>
  </si>
  <si>
    <t xml:space="preserve">Button series x2, SPI divider top x3, CS divider top</t>
  </si>
  <si>
    <t xml:space="preserve">R17, R19, R21, R23</t>
  </si>
  <si>
    <t xml:space="preserve">Resistor 2k</t>
  </si>
  <si>
    <t xml:space="preserve">SPI divider bottom x3, CS divider bottom</t>
  </si>
  <si>
    <t xml:space="preserve">R13</t>
  </si>
  <si>
    <t xml:space="preserve">Resistor 220 ohm</t>
  </si>
  <si>
    <t xml:space="preserve">LED red</t>
  </si>
  <si>
    <t xml:space="preserve">R14, R15</t>
  </si>
  <si>
    <t xml:space="preserve">Resistor 150 ohm</t>
  </si>
  <si>
    <t xml:space="preserve">LED green, LED blue</t>
  </si>
  <si>
    <t xml:space="preserve">Board 2 (logic)</t>
  </si>
  <si>
    <t xml:space="preserve">Cables</t>
  </si>
  <si>
    <t xml:space="preserve">Ribbons</t>
  </si>
  <si>
    <t xml:space="preserve">IDC female socket 34-pin</t>
  </si>
  <si>
    <t xml:space="preserve">2 for Board 1-2, 1 for the Mega ribbon</t>
  </si>
  <si>
    <t xml:space="preserve">About 20 cm Board 1-2 plus the Mega run</t>
  </si>
  <si>
    <t xml:space="preserve">Mega end</t>
  </si>
  <si>
    <t xml:space="preserve">Dupont male crimp pins</t>
  </si>
  <si>
    <t xml:space="preserve">32 conductors into the Mega headers</t>
  </si>
  <si>
    <t xml:space="preserve">1x6 x2, 1x4 x3, 2x2 x1 (1x2 from 2-pin stock)</t>
  </si>
  <si>
    <t xml:space="preserve">Dupont 2-pin housing</t>
  </si>
  <si>
    <t xml:space="preserve">D2/D3 PWM group</t>
  </si>
  <si>
    <t xml:space="preserve">Dupont 1-pin housing</t>
  </si>
  <si>
    <t xml:space="preserve">D49 display CS, next to the SPI 2x2</t>
  </si>
  <si>
    <t xml:space="preserve">Board 2 leads</t>
  </si>
  <si>
    <t xml:space="preserve">Dupont female crimp pins</t>
  </si>
  <si>
    <t xml:space="preserve">18: SHT 4, PANEL 6, DISP 6, NTC 2</t>
  </si>
  <si>
    <t xml:space="preserve">GX12 aviation plug male + female 2P</t>
  </si>
  <si>
    <t xml:space="preserve">12 V feed, both ends</t>
  </si>
  <si>
    <t xml:space="preserve">C5</t>
  </si>
  <si>
    <t xml:space="preserve">GX12 aviation plug male + female 3P</t>
  </si>
  <si>
    <t xml:space="preserve">GPU block NTC, both ends</t>
  </si>
  <si>
    <t xml:space="preserve">C2</t>
  </si>
  <si>
    <t xml:space="preserve">GX12 aviation plug male + female 4P</t>
  </si>
  <si>
    <t xml:space="preserve">SHT31 x2, both ends</t>
  </si>
  <si>
    <t xml:space="preserve">GX12 aviation plug male + female 5P</t>
  </si>
  <si>
    <t xml:space="preserve">Spare: C4 moved to 6P</t>
  </si>
  <si>
    <t xml:space="preserve">C3, C4</t>
  </si>
  <si>
    <t xml:space="preserve">GX12 aviation plug male + female 6P</t>
  </si>
  <si>
    <t xml:space="preserve">At the 570X bracket only: C3 panel, C4 display + CS; both hardwired into the box</t>
  </si>
  <si>
    <t xml:space="preserve">Inline mini blade fuse holder</t>
  </si>
  <si>
    <t xml:space="preserve">5 A, at the PSU end of the 12 V feed</t>
  </si>
  <si>
    <t xml:space="preserve">RVV 2-core 18 AWG</t>
  </si>
  <si>
    <t xml:space="preserve">12 V feed run</t>
  </si>
  <si>
    <t xml:space="preserve">UL2464 2-core 20 AWG</t>
  </si>
  <si>
    <t xml:space="preserve">12 V pigtail into the KF128</t>
  </si>
  <si>
    <t xml:space="preserve">C2–C5</t>
  </si>
  <si>
    <t xml:space="preserve">UL2464 6-core 24 AWG</t>
  </si>
  <si>
    <t xml:space="preserve">Runs into the case; C4 uses all six cores</t>
  </si>
  <si>
    <t xml:space="preserve">Off-board</t>
  </si>
  <si>
    <t xml:space="preserve">Display</t>
  </si>
  <si>
    <t xml:space="preserve">ST7789 IPS display</t>
  </si>
  <si>
    <t xml:space="preserve">1.69" or 1.9", whichever you pick</t>
  </si>
  <si>
    <t xml:space="preserve">Display end</t>
  </si>
  <si>
    <t xml:space="preserve">Resistor 10k + ceramic 100 nF</t>
  </si>
  <si>
    <t xml:space="preserve">RES pull-up and power-on RC at the display (CS is wired, BLK to VCC)</t>
  </si>
  <si>
    <t xml:space="preserve">Case</t>
  </si>
  <si>
    <t xml:space="preserve">SHT31 module</t>
  </si>
  <si>
    <t xml:space="preserve">A = 0x44 top-rear, B = 0x45 mid-case</t>
  </si>
  <si>
    <t xml:space="preserve">Top panel</t>
  </si>
  <si>
    <t xml:space="preserve">RGB LED 5 mm common cathode</t>
  </si>
  <si>
    <t xml:space="preserve">Status LED</t>
  </si>
  <si>
    <t xml:space="preserve">Solenoid</t>
  </si>
  <si>
    <t xml:space="preserve">Across the coil, cathode to +</t>
  </si>
  <si>
    <t xml:space="preserve">Outdoor rad, valve outlet, GPU block</t>
  </si>
  <si>
    <t xml:space="preserve">Controller</t>
  </si>
  <si>
    <t xml:space="preserve">MEGA2560 R3</t>
  </si>
  <si>
    <t xml:space="preserve">Stack</t>
  </si>
  <si>
    <t xml:space="preserve">Nylon M3 standoffs</t>
  </si>
  <si>
    <t xml:space="preserve">Board gap 32 mm</t>
  </si>
  <si>
    <t xml:space="preserve">GX solder cups, pigtails, coil diode</t>
  </si>
  <si>
    <t xml:space="preserve">Box entry</t>
  </si>
  <si>
    <t xml:space="preserve">Grommet or cable gland + zip ties</t>
  </si>
  <si>
    <t xml:space="preserve">Strain relief for hardwired C3 and C4 into the box</t>
  </si>
  <si>
    <t xml:space="preserve">Qty needed counts parts on both boards plus off-board items for rev 4b with display CS, no spares. Blue = input. Status is pulled live from Components column K using the # in column G.</t>
  </si>
  <si>
    <t xml:space="preserve">Bought but not used in rev 4b: relay modules (12 V, 24 V), SHT30 modules, SB560 diodes, 3296W trimmers, ferrite rings, 0.91" OLEDs.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</si>
</sst>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#,##0"/>
    <numFmt numFmtId="167" formatCode="0.0%"/>
    <numFmt numFmtId="168" formatCode="#,##0;\-#,##0;\-"/>
    <numFmt numFmtId="169" formatCode="0%;\-0%;\-"/>
    <numFmt numFmtId="170" formatCode="0%"/>
    <numFmt numFmtId="171" formatCode="#,##0;\-#,##0"/>
    <numFmt numFmtId="172" formatCode="#,##0.00;\-#,##0.00;\-"/>
    <numFmt numFmtId="173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3" min="2" style="1" width="30"/>
    <col collapsed="false" customWidth="true" hidden="false" outlineLevel="0" max="4" min="4" style="1" width="12"/>
    <col collapsed="false" customWidth="true" hidden="false" outlineLevel="0" max="5" min="5" style="1" width="9"/>
  </cols>
  <sheetData>
    <row r="1" customFormat="false" ht="17.2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  <c r="C3" s="4" t="n">
        <v>11</v>
      </c>
      <c r="D3" s="5" t="s">
        <v>2</v>
      </c>
    </row>
    <row r="5" customFormat="false" ht="15" hidden="false" customHeight="true" outlineLevel="0" collapsed="false">
      <c r="B5" s="6" t="s">
        <v>3</v>
      </c>
      <c r="C5" s="6" t="s">
        <v>4</v>
      </c>
      <c r="D5" s="6" t="s">
        <v>5</v>
      </c>
      <c r="E5" s="6" t="s">
        <v>6</v>
      </c>
    </row>
    <row r="6" customFormat="false" ht="15" hidden="false" customHeight="true" outlineLevel="0" collapsed="false">
      <c r="B6" s="7" t="s">
        <v>7</v>
      </c>
      <c r="C6" s="8"/>
      <c r="D6" s="9" t="n">
        <f aca="false">SUMIF(Components!$B$2:$B$158,B6,Components!$J$2:$J$158)</f>
        <v>11757.13</v>
      </c>
      <c r="E6" s="10" t="n">
        <f aca="false">IF($D$50=0,0,D6/$D$50)</f>
        <v>0.587686805434931</v>
      </c>
    </row>
    <row r="7" customFormat="false" ht="15" hidden="false" customHeight="true" outlineLevel="0" collapsed="false">
      <c r="C7" s="3" t="s">
        <v>8</v>
      </c>
      <c r="D7" s="11" t="n">
        <f aca="false">SUMIFS(Components!$J$2:$J$158,Components!$B$2:$B$158,B6,Components!$C$2:$C$158,C7)</f>
        <v>1579.52</v>
      </c>
      <c r="E7" s="12" t="n">
        <f aca="false">IF($D$50=0,0,D7/$D$50)</f>
        <v>0.0789532022628466</v>
      </c>
    </row>
    <row r="8" customFormat="false" ht="15" hidden="false" customHeight="true" outlineLevel="0" collapsed="false">
      <c r="C8" s="3" t="s">
        <v>9</v>
      </c>
      <c r="D8" s="11" t="n">
        <f aca="false">SUMIFS(Components!$J$2:$J$158,Components!$B$2:$B$158,B6,Components!$C$2:$C$158,C8)</f>
        <v>1655.65</v>
      </c>
      <c r="E8" s="12" t="n">
        <f aca="false">IF($D$50=0,0,D8/$D$50)</f>
        <v>0.0827586034532529</v>
      </c>
    </row>
    <row r="9" customFormat="false" ht="15" hidden="false" customHeight="true" outlineLevel="0" collapsed="false">
      <c r="C9" s="3" t="s">
        <v>10</v>
      </c>
      <c r="D9" s="11" t="n">
        <f aca="false">SUMIFS(Components!$J$2:$J$158,Components!$B$2:$B$158,B6,Components!$C$2:$C$158,C9)</f>
        <v>2408.76</v>
      </c>
      <c r="E9" s="12" t="n">
        <f aca="false">IF($D$50=0,0,D9/$D$50)</f>
        <v>0.120403233566308</v>
      </c>
    </row>
    <row r="10" customFormat="false" ht="15" hidden="false" customHeight="true" outlineLevel="0" collapsed="false">
      <c r="C10" s="3" t="s">
        <v>11</v>
      </c>
      <c r="D10" s="11" t="n">
        <f aca="false">SUMIFS(Components!$J$2:$J$158,Components!$B$2:$B$158,B6,Components!$C$2:$C$158,C10)</f>
        <v>1854.47</v>
      </c>
      <c r="E10" s="12" t="n">
        <f aca="false">IF($D$50=0,0,D10/$D$50)</f>
        <v>0.09269673381811</v>
      </c>
    </row>
    <row r="11" customFormat="false" ht="15" hidden="false" customHeight="true" outlineLevel="0" collapsed="false">
      <c r="C11" s="3" t="s">
        <v>12</v>
      </c>
      <c r="D11" s="11" t="n">
        <f aca="false">SUMIFS(Components!$J$2:$J$158,Components!$B$2:$B$158,B6,Components!$C$2:$C$158,C11)</f>
        <v>2618.62</v>
      </c>
      <c r="E11" s="12" t="n">
        <f aca="false">IF($D$50=0,0,D11/$D$50)</f>
        <v>0.130893204587175</v>
      </c>
    </row>
    <row r="12" customFormat="false" ht="15" hidden="false" customHeight="true" outlineLevel="0" collapsed="false">
      <c r="C12" s="3" t="s">
        <v>13</v>
      </c>
      <c r="D12" s="11" t="n">
        <f aca="false">SUMIFS(Components!$J$2:$J$158,Components!$B$2:$B$158,B6,Components!$C$2:$C$158,C12)</f>
        <v>481.73</v>
      </c>
      <c r="E12" s="12" t="n">
        <f aca="false">IF($D$50=0,0,D12/$D$50)</f>
        <v>0.0240795470307949</v>
      </c>
    </row>
    <row r="13" customFormat="false" ht="15" hidden="false" customHeight="true" outlineLevel="0" collapsed="false">
      <c r="C13" s="3" t="s">
        <v>14</v>
      </c>
      <c r="D13" s="11" t="n">
        <f aca="false">SUMIFS(Components!$J$2:$J$158,Components!$B$2:$B$158,B6,Components!$C$2:$C$158,C13)</f>
        <v>404.77</v>
      </c>
      <c r="E13" s="12" t="n">
        <f aca="false">IF($D$50=0,0,D13/$D$50)</f>
        <v>0.0202326578200545</v>
      </c>
    </row>
    <row r="14" customFormat="false" ht="15" hidden="false" customHeight="true" outlineLevel="0" collapsed="false">
      <c r="C14" s="3" t="s">
        <v>15</v>
      </c>
      <c r="D14" s="11" t="n">
        <f aca="false">SUMIFS(Components!$J$2:$J$158,Components!$B$2:$B$158,B6,Components!$C$2:$C$158,C14)</f>
        <v>262.45</v>
      </c>
      <c r="E14" s="12" t="n">
        <f aca="false">IF($D$50=0,0,D14/$D$50)</f>
        <v>0.0131187119719181</v>
      </c>
    </row>
    <row r="15" customFormat="false" ht="15" hidden="false" customHeight="true" outlineLevel="0" collapsed="false">
      <c r="C15" s="3" t="s">
        <v>16</v>
      </c>
      <c r="D15" s="11" t="n">
        <f aca="false">SUMIFS(Components!$J$2:$J$158,Components!$B$2:$B$158,B6,Components!$C$2:$C$158,C15)</f>
        <v>491.16</v>
      </c>
      <c r="E15" s="12" t="n">
        <f aca="false">IF($D$50=0,0,D15/$D$50)</f>
        <v>0.0245509109244706</v>
      </c>
    </row>
    <row r="16" customFormat="false" ht="15" hidden="false" customHeight="true" outlineLevel="0" collapsed="false">
      <c r="B16" s="7" t="s">
        <v>17</v>
      </c>
      <c r="C16" s="8"/>
      <c r="D16" s="9" t="n">
        <f aca="false">SUMIF(Components!$B$2:$B$158,B16,Components!$J$2:$J$158)</f>
        <v>3551.78</v>
      </c>
      <c r="E16" s="10" t="n">
        <f aca="false">IF($D$50=0,0,D16/$D$50)</f>
        <v>0.177537735978736</v>
      </c>
    </row>
    <row r="17" customFormat="false" ht="15" hidden="false" customHeight="true" outlineLevel="0" collapsed="false">
      <c r="C17" s="3" t="s">
        <v>18</v>
      </c>
      <c r="D17" s="11" t="n">
        <f aca="false">SUMIFS(Components!$J$2:$J$158,Components!$B$2:$B$158,B16,Components!$C$2:$C$158,C17)</f>
        <v>1006</v>
      </c>
      <c r="E17" s="12" t="n">
        <f aca="false">IF($D$50=0,0,D17/$D$50)</f>
        <v>0.0502854800676305</v>
      </c>
    </row>
    <row r="18" customFormat="false" ht="15" hidden="false" customHeight="true" outlineLevel="0" collapsed="false">
      <c r="C18" s="3" t="s">
        <v>19</v>
      </c>
      <c r="D18" s="11" t="n">
        <f aca="false">SUMIFS(Components!$J$2:$J$158,Components!$B$2:$B$158,B16,Components!$C$2:$C$158,C18)</f>
        <v>629</v>
      </c>
      <c r="E18" s="12" t="n">
        <f aca="false">IF($D$50=0,0,D18/$D$50)</f>
        <v>0.031440921433936</v>
      </c>
    </row>
    <row r="19" customFormat="false" ht="15" hidden="false" customHeight="true" outlineLevel="0" collapsed="false">
      <c r="C19" s="3" t="s">
        <v>20</v>
      </c>
      <c r="D19" s="11" t="n">
        <f aca="false">SUMIFS(Components!$J$2:$J$158,Components!$B$2:$B$158,B16,Components!$C$2:$C$158,C19)</f>
        <v>218</v>
      </c>
      <c r="E19" s="12" t="n">
        <f aca="false">IF($D$50=0,0,D19/$D$50)</f>
        <v>0.0108968535335422</v>
      </c>
    </row>
    <row r="20" customFormat="false" ht="15" hidden="false" customHeight="true" outlineLevel="0" collapsed="false">
      <c r="C20" s="3" t="s">
        <v>21</v>
      </c>
      <c r="D20" s="11" t="n">
        <f aca="false">SUMIFS(Components!$J$2:$J$158,Components!$B$2:$B$158,B16,Components!$C$2:$C$158,C20)</f>
        <v>705.78</v>
      </c>
      <c r="E20" s="12" t="n">
        <f aca="false">IF($D$50=0,0,D20/$D$50)</f>
        <v>0.0352788132426762</v>
      </c>
    </row>
    <row r="21" customFormat="false" ht="15" hidden="false" customHeight="true" outlineLevel="0" collapsed="false">
      <c r="C21" s="3" t="s">
        <v>22</v>
      </c>
      <c r="D21" s="11" t="n">
        <f aca="false">SUMIFS(Components!$J$2:$J$158,Components!$B$2:$B$158,B16,Components!$C$2:$C$158,C21)</f>
        <v>598</v>
      </c>
      <c r="E21" s="12" t="n">
        <f aca="false">IF($D$50=0,0,D21/$D$50)</f>
        <v>0.0298913688672396</v>
      </c>
    </row>
    <row r="22" customFormat="false" ht="15" hidden="false" customHeight="true" outlineLevel="0" collapsed="false">
      <c r="C22" s="3" t="s">
        <v>23</v>
      </c>
      <c r="D22" s="11" t="n">
        <f aca="false">SUMIFS(Components!$J$2:$J$158,Components!$B$2:$B$158,B16,Components!$C$2:$C$158,C22)</f>
        <v>395</v>
      </c>
      <c r="E22" s="12" t="n">
        <f aca="false">IF($D$50=0,0,D22/$D$50)</f>
        <v>0.0197442988337118</v>
      </c>
    </row>
    <row r="23" customFormat="false" ht="15" hidden="false" customHeight="true" outlineLevel="0" collapsed="false">
      <c r="B23" s="7" t="s">
        <v>24</v>
      </c>
      <c r="C23" s="8"/>
      <c r="D23" s="9" t="n">
        <f aca="false">SUMIF(Components!$B$2:$B$158,B23,Components!$J$2:$J$158)</f>
        <v>1598.35</v>
      </c>
      <c r="E23" s="10" t="n">
        <f aca="false">IF($D$50=0,0,D23/$D$50)</f>
        <v>0.079894430483198</v>
      </c>
    </row>
    <row r="24" customFormat="false" ht="15" hidden="false" customHeight="true" outlineLevel="0" collapsed="false">
      <c r="C24" s="3" t="s">
        <v>25</v>
      </c>
      <c r="D24" s="11" t="n">
        <f aca="false">SUMIFS(Components!$J$2:$J$158,Components!$B$2:$B$158,B23,Components!$C$2:$C$158,C24)</f>
        <v>1092.45</v>
      </c>
      <c r="E24" s="12" t="n">
        <f aca="false">IF($D$50=0,0,D24/$D$50)</f>
        <v>0.0546067323060466</v>
      </c>
    </row>
    <row r="25" customFormat="false" ht="15" hidden="false" customHeight="true" outlineLevel="0" collapsed="false">
      <c r="C25" s="3" t="s">
        <v>26</v>
      </c>
      <c r="D25" s="11" t="n">
        <f aca="false">SUMIFS(Components!$J$2:$J$158,Components!$B$2:$B$158,B23,Components!$C$2:$C$158,C25)</f>
        <v>452.01</v>
      </c>
      <c r="E25" s="12" t="n">
        <f aca="false">IF($D$50=0,0,D25/$D$50)</f>
        <v>0.0225939759894331</v>
      </c>
    </row>
    <row r="26" customFormat="false" ht="15" hidden="false" customHeight="true" outlineLevel="0" collapsed="false">
      <c r="C26" s="3" t="s">
        <v>27</v>
      </c>
      <c r="D26" s="11" t="n">
        <f aca="false">SUMIFS(Components!$J$2:$J$158,Components!$B$2:$B$158,B23,Components!$C$2:$C$158,C26)</f>
        <v>53.89</v>
      </c>
      <c r="E26" s="12" t="n">
        <f aca="false">IF($D$50=0,0,D26/$D$50)</f>
        <v>0.0026937221877183</v>
      </c>
    </row>
    <row r="27" customFormat="false" ht="15" hidden="false" customHeight="true" outlineLevel="0" collapsed="false">
      <c r="B27" s="7" t="s">
        <v>28</v>
      </c>
      <c r="C27" s="8"/>
      <c r="D27" s="9" t="n">
        <f aca="false">SUMIF(Components!$B$2:$B$158,B27,Components!$J$2:$J$158)</f>
        <v>2649.02</v>
      </c>
      <c r="E27" s="10" t="n">
        <f aca="false">IF($D$50=0,0,D27/$D$50)</f>
        <v>0.132412765813871</v>
      </c>
    </row>
    <row r="28" customFormat="false" ht="15" hidden="false" customHeight="true" outlineLevel="0" collapsed="false">
      <c r="C28" s="3" t="s">
        <v>29</v>
      </c>
      <c r="D28" s="11" t="n">
        <f aca="false">SUMIFS(Components!$J$2:$J$158,Components!$B$2:$B$158,B27,Components!$C$2:$C$158,C28)</f>
        <v>418.57</v>
      </c>
      <c r="E28" s="12" t="n">
        <f aca="false">IF($D$50=0,0,D28/$D$50)</f>
        <v>0.0209224586400677</v>
      </c>
    </row>
    <row r="29" customFormat="false" ht="15" hidden="false" customHeight="true" outlineLevel="0" collapsed="false">
      <c r="C29" s="3" t="s">
        <v>30</v>
      </c>
      <c r="D29" s="11" t="n">
        <f aca="false">SUMIFS(Components!$J$2:$J$158,Components!$B$2:$B$158,B27,Components!$C$2:$C$158,C29)</f>
        <v>190.77</v>
      </c>
      <c r="E29" s="12" t="n">
        <f aca="false">IF($D$50=0,0,D29/$D$50)</f>
        <v>0.00953574655318277</v>
      </c>
    </row>
    <row r="30" customFormat="false" ht="15" hidden="false" customHeight="true" outlineLevel="0" collapsed="false">
      <c r="C30" s="3" t="s">
        <v>31</v>
      </c>
      <c r="D30" s="11" t="n">
        <f aca="false">SUMIFS(Components!$J$2:$J$158,Components!$B$2:$B$158,B27,Components!$C$2:$C$158,C30)</f>
        <v>71.56</v>
      </c>
      <c r="E30" s="12" t="n">
        <f aca="false">IF($D$50=0,0,D30/$D$50)</f>
        <v>0.00357696715073523</v>
      </c>
    </row>
    <row r="31" customFormat="false" ht="15" hidden="false" customHeight="true" outlineLevel="0" collapsed="false">
      <c r="C31" s="3" t="s">
        <v>32</v>
      </c>
      <c r="D31" s="11" t="n">
        <f aca="false">SUMIFS(Components!$J$2:$J$158,Components!$B$2:$B$158,B27,Components!$C$2:$C$158,C31)</f>
        <v>395.28</v>
      </c>
      <c r="E31" s="12" t="n">
        <f aca="false">IF($D$50=0,0,D31/$D$50)</f>
        <v>0.0197582947923787</v>
      </c>
    </row>
    <row r="32" customFormat="false" ht="15" hidden="false" customHeight="true" outlineLevel="0" collapsed="false">
      <c r="C32" s="3" t="s">
        <v>33</v>
      </c>
      <c r="D32" s="11" t="n">
        <f aca="false">SUMIFS(Components!$J$2:$J$158,Components!$B$2:$B$158,B27,Components!$C$2:$C$158,C32)</f>
        <v>189.97</v>
      </c>
      <c r="E32" s="12" t="n">
        <f aca="false">IF($D$50=0,0,D32/$D$50)</f>
        <v>0.00949575809984867</v>
      </c>
    </row>
    <row r="33" customFormat="false" ht="15" hidden="false" customHeight="true" outlineLevel="0" collapsed="false">
      <c r="C33" s="3" t="s">
        <v>34</v>
      </c>
      <c r="D33" s="11" t="n">
        <f aca="false">SUMIFS(Components!$J$2:$J$158,Components!$B$2:$B$158,B27,Components!$C$2:$C$158,C33)</f>
        <v>564.63</v>
      </c>
      <c r="E33" s="12" t="n">
        <f aca="false">IF($D$50=0,0,D33/$D$50)</f>
        <v>0.028223350507541</v>
      </c>
    </row>
    <row r="34" customFormat="false" ht="15" hidden="false" customHeight="true" outlineLevel="0" collapsed="false">
      <c r="C34" s="3" t="s">
        <v>35</v>
      </c>
      <c r="D34" s="11" t="n">
        <f aca="false">SUMIFS(Components!$J$2:$J$158,Components!$B$2:$B$158,B27,Components!$C$2:$C$158,C34)</f>
        <v>549.45</v>
      </c>
      <c r="E34" s="12" t="n">
        <f aca="false">IF($D$50=0,0,D34/$D$50)</f>
        <v>0.0274645696055264</v>
      </c>
    </row>
    <row r="35" customFormat="false" ht="15" hidden="false" customHeight="true" outlineLevel="0" collapsed="false">
      <c r="C35" s="3" t="s">
        <v>36</v>
      </c>
      <c r="D35" s="11" t="n">
        <f aca="false">SUMIFS(Components!$J$2:$J$158,Components!$B$2:$B$158,B27,Components!$C$2:$C$158,C35)</f>
        <v>107.42</v>
      </c>
      <c r="E35" s="12" t="n">
        <f aca="false">IF($D$50=0,0,D35/$D$50)</f>
        <v>0.00536944957143625</v>
      </c>
    </row>
    <row r="36" customFormat="false" ht="15" hidden="false" customHeight="true" outlineLevel="0" collapsed="false">
      <c r="C36" s="3" t="s">
        <v>37</v>
      </c>
      <c r="D36" s="11" t="n">
        <f aca="false">SUMIFS(Components!$J$2:$J$158,Components!$B$2:$B$158,B27,Components!$C$2:$C$158,C36)</f>
        <v>161.37</v>
      </c>
      <c r="E36" s="12" t="n">
        <f aca="false">IF($D$50=0,0,D36/$D$50)</f>
        <v>0.0080661708931546</v>
      </c>
    </row>
    <row r="37" customFormat="false" ht="15" hidden="false" customHeight="true" outlineLevel="0" collapsed="false">
      <c r="B37" s="7" t="s">
        <v>38</v>
      </c>
      <c r="C37" s="8"/>
      <c r="D37" s="9" t="n">
        <f aca="false">SUMIF(Components!$B$2:$B$158,B37,Components!$J$2:$J$158)</f>
        <v>460.96</v>
      </c>
      <c r="E37" s="10" t="n">
        <f aca="false">IF($D$50=0,0,D37/$D$50)</f>
        <v>0.0230413468111083</v>
      </c>
    </row>
    <row r="38" customFormat="false" ht="15" hidden="false" customHeight="true" outlineLevel="0" collapsed="false">
      <c r="C38" s="3" t="s">
        <v>39</v>
      </c>
      <c r="D38" s="11" t="n">
        <f aca="false">SUMIFS(Components!$J$2:$J$158,Components!$B$2:$B$158,B37,Components!$C$2:$C$158,C38)</f>
        <v>140.23</v>
      </c>
      <c r="E38" s="12" t="n">
        <f aca="false">IF($D$50=0,0,D38/$D$50)</f>
        <v>0.00700947601380102</v>
      </c>
    </row>
    <row r="39" customFormat="false" ht="15" hidden="false" customHeight="true" outlineLevel="0" collapsed="false">
      <c r="C39" s="3" t="s">
        <v>40</v>
      </c>
      <c r="D39" s="11" t="n">
        <f aca="false">SUMIFS(Components!$J$2:$J$158,Components!$B$2:$B$158,B37,Components!$C$2:$C$158,C39)</f>
        <v>139.59</v>
      </c>
      <c r="E39" s="12" t="n">
        <f aca="false">IF($D$50=0,0,D39/$D$50)</f>
        <v>0.00697748525113374</v>
      </c>
    </row>
    <row r="40" customFormat="false" ht="15" hidden="false" customHeight="true" outlineLevel="0" collapsed="false">
      <c r="C40" s="3" t="s">
        <v>41</v>
      </c>
      <c r="D40" s="11" t="n">
        <f aca="false">SUMIFS(Components!$J$2:$J$158,Components!$B$2:$B$158,B37,Components!$C$2:$C$158,C40)</f>
        <v>181.14</v>
      </c>
      <c r="E40" s="12" t="n">
        <f aca="false">IF($D$50=0,0,D40/$D$50)</f>
        <v>0.00905438554617354</v>
      </c>
    </row>
    <row r="41" customFormat="false" ht="15" hidden="false" customHeight="true" outlineLevel="0" collapsed="false">
      <c r="B41" s="7" t="s">
        <v>42</v>
      </c>
      <c r="C41" s="8"/>
      <c r="D41" s="9" t="n">
        <f aca="false">SUMIF(Components!$B$2:$B$158,B41,Components!$J$2:$J$158)</f>
        <v>1543.945</v>
      </c>
      <c r="E41" s="10" t="n">
        <f aca="false">IF($D$50=0,0,D41/$D$50)</f>
        <v>0.0771749657286459</v>
      </c>
    </row>
    <row r="42" customFormat="false" ht="15" hidden="false" customHeight="true" outlineLevel="0" collapsed="false">
      <c r="C42" s="3" t="s">
        <v>43</v>
      </c>
      <c r="D42" s="11" t="n">
        <f aca="false">SUMIFS(Components!$J$2:$J$158,Components!$B$2:$B$158,B41,Components!$C$2:$C$158,C42)</f>
        <v>907.54</v>
      </c>
      <c r="E42" s="12" t="n">
        <f aca="false">IF($D$50=0,0,D42/$D$50)</f>
        <v>0.0453639011735361</v>
      </c>
    </row>
    <row r="43" customFormat="false" ht="15" hidden="false" customHeight="true" outlineLevel="0" collapsed="false">
      <c r="C43" s="3" t="s">
        <v>44</v>
      </c>
      <c r="D43" s="11" t="n">
        <f aca="false">SUMIFS(Components!$J$2:$J$158,Components!$B$2:$B$158,B41,Components!$C$2:$C$158,C43)</f>
        <v>-168.74</v>
      </c>
      <c r="E43" s="12" t="n">
        <f aca="false">IF($D$50=0,0,D43/$D$50)</f>
        <v>-0.008434564519495</v>
      </c>
    </row>
    <row r="44" customFormat="false" ht="15" hidden="false" customHeight="true" outlineLevel="0" collapsed="false">
      <c r="C44" s="3" t="s">
        <v>45</v>
      </c>
      <c r="D44" s="11" t="n">
        <f aca="false">SUMIFS(Components!$J$2:$J$158,Components!$B$2:$B$158,B41,Components!$C$2:$C$158,C44)</f>
        <v>805.145</v>
      </c>
      <c r="E44" s="12" t="n">
        <f aca="false">IF($D$50=0,0,D44/$D$50)</f>
        <v>0.0402456290746047</v>
      </c>
    </row>
    <row r="45" customFormat="false" ht="15" hidden="false" customHeight="true" outlineLevel="0" collapsed="false">
      <c r="B45" s="7" t="s">
        <v>46</v>
      </c>
      <c r="C45" s="8"/>
      <c r="D45" s="9" t="n">
        <f aca="false">SUMIF(Components!$B$2:$B$158,B45,Components!$J$2:$J$158)</f>
        <v>-1650</v>
      </c>
      <c r="E45" s="10" t="n">
        <f aca="false">IF($D$50=0,0,D45/$D$50)</f>
        <v>-0.0824761850015808</v>
      </c>
    </row>
    <row r="46" customFormat="false" ht="15" hidden="false" customHeight="true" outlineLevel="0" collapsed="false">
      <c r="C46" s="3" t="s">
        <v>47</v>
      </c>
      <c r="D46" s="11" t="n">
        <f aca="false">SUMIFS(Components!$J$2:$J$158,Components!$B$2:$B$158,B45,Components!$C$2:$C$158,C46)</f>
        <v>-1650</v>
      </c>
      <c r="E46" s="12" t="n">
        <f aca="false">IF($D$50=0,0,D46/$D$50)</f>
        <v>-0.0824761850015808</v>
      </c>
    </row>
    <row r="47" customFormat="false" ht="15" hidden="false" customHeight="true" outlineLevel="0" collapsed="false">
      <c r="B47" s="7" t="s">
        <v>48</v>
      </c>
      <c r="C47" s="8"/>
      <c r="D47" s="9" t="n">
        <f aca="false">SUMIF(Components!$B$2:$B$158,B47,Components!$J$2:$J$158)</f>
        <v>94.59</v>
      </c>
      <c r="E47" s="10" t="n">
        <f aca="false">IF($D$50=0,0,D47/$D$50)</f>
        <v>0.00472813475109062</v>
      </c>
    </row>
    <row r="48" customFormat="false" ht="15" hidden="false" customHeight="true" outlineLevel="0" collapsed="false">
      <c r="C48" s="3" t="s">
        <v>49</v>
      </c>
      <c r="D48" s="11" t="n">
        <f aca="false">SUMIFS(Components!$J$2:$J$158,Components!$B$2:$B$158,B47,Components!$C$2:$C$158,C48)</f>
        <v>94.59</v>
      </c>
      <c r="E48" s="12" t="n">
        <f aca="false">IF($D$50=0,0,D48/$D$50)</f>
        <v>0.00472813475109062</v>
      </c>
    </row>
    <row r="50" customFormat="false" ht="15" hidden="false" customHeight="true" outlineLevel="0" collapsed="false">
      <c r="B50" s="13" t="s">
        <v>50</v>
      </c>
      <c r="D50" s="14" t="n">
        <f aca="false">D6+D16+D23+D27+D37+D41+D45+D47</f>
        <v>20005.775</v>
      </c>
    </row>
    <row r="51" customFormat="false" ht="15" hidden="false" customHeight="true" outlineLevel="0" collapsed="false">
      <c r="B51" s="3" t="s">
        <v>51</v>
      </c>
      <c r="D51" s="11" t="n">
        <f aca="false">SUMIF(Components!$K$2:$K$158,"Adding to order",Components!$J$2:$J$158)</f>
        <v>485</v>
      </c>
    </row>
    <row r="52" customFormat="false" ht="15" hidden="false" customHeight="true" outlineLevel="0" collapsed="false">
      <c r="B52" s="3" t="s">
        <v>52</v>
      </c>
      <c r="D52" s="11" t="n">
        <f aca="false">SUMIF(Components!$K$2:$K$158,"Estimate",Components!$J$2:$J$158)</f>
        <v>833.635</v>
      </c>
    </row>
    <row r="53" customFormat="false" ht="15" hidden="false" customHeight="true" outlineLevel="0" collapsed="false">
      <c r="B53" s="3" t="s">
        <v>53</v>
      </c>
      <c r="D53" s="11" t="n">
        <f aca="false">SUMIF(Components!$B$2:$B$158,"Not project",Components!$J$2:$J$158)</f>
        <v>94.59</v>
      </c>
    </row>
    <row r="54" customFormat="false" ht="15" hidden="false" customHeight="true" outlineLevel="0" collapsed="false">
      <c r="B54" s="13" t="s">
        <v>54</v>
      </c>
      <c r="D54" s="14" t="n">
        <f aca="false">D50-D53</f>
        <v>19911.185</v>
      </c>
    </row>
    <row r="57" customFormat="false" ht="15" hidden="false" customHeight="true" outlineLevel="0" collapsed="false">
      <c r="B57" s="6" t="s">
        <v>55</v>
      </c>
      <c r="C57" s="6"/>
      <c r="D57" s="6" t="s">
        <v>5</v>
      </c>
    </row>
    <row r="58" customFormat="false" ht="15" hidden="false" customHeight="true" outlineLevel="0" collapsed="false">
      <c r="B58" s="3" t="s">
        <v>56</v>
      </c>
      <c r="D58" s="11" t="n">
        <f aca="false">SUMIF(Components!$G$2:$G$158,B58,Components!$J$2:$J$158)</f>
        <v>8389.64</v>
      </c>
    </row>
    <row r="59" customFormat="false" ht="15" hidden="false" customHeight="true" outlineLevel="0" collapsed="false">
      <c r="B59" s="3" t="s">
        <v>57</v>
      </c>
      <c r="D59" s="11" t="n">
        <f aca="false">SUMIF(Components!$G$2:$G$158,B59,Components!$J$2:$J$158)</f>
        <v>1300</v>
      </c>
    </row>
    <row r="60" customFormat="false" ht="15" hidden="false" customHeight="true" outlineLevel="0" collapsed="false">
      <c r="B60" s="3" t="s">
        <v>58</v>
      </c>
      <c r="D60" s="11" t="n">
        <f aca="false">SUMIF(Components!$G$2:$G$158,B60,Components!$J$2:$J$158)</f>
        <v>4945.41</v>
      </c>
    </row>
    <row r="61" customFormat="false" ht="15" hidden="false" customHeight="true" outlineLevel="0" collapsed="false">
      <c r="B61" s="3" t="s">
        <v>59</v>
      </c>
      <c r="D61" s="11" t="n">
        <f aca="false">SUMIF(Components!$G$2:$G$158,B61,Components!$J$2:$J$158)</f>
        <v>1813.57</v>
      </c>
    </row>
    <row r="62" customFormat="false" ht="15" hidden="false" customHeight="true" outlineLevel="0" collapsed="false">
      <c r="B62" s="3" t="s">
        <v>60</v>
      </c>
      <c r="D62" s="11" t="n">
        <f aca="false">SUMIF(Components!$G$2:$G$158,B62,Components!$J$2:$J$158)</f>
        <v>310.2</v>
      </c>
    </row>
    <row r="63" customFormat="false" ht="15" hidden="false" customHeight="true" outlineLevel="0" collapsed="false">
      <c r="B63" s="3" t="s">
        <v>61</v>
      </c>
      <c r="D63" s="11" t="n">
        <f aca="false">SUMIF(Components!$G$2:$G$158,B63,Components!$J$2:$J$158)</f>
        <v>2219</v>
      </c>
    </row>
    <row r="64" customFormat="false" ht="15" hidden="false" customHeight="true" outlineLevel="0" collapsed="false">
      <c r="B64" s="3" t="s">
        <v>62</v>
      </c>
      <c r="D64" s="11" t="n">
        <f aca="false">SUMIF(Components!$G$2:$G$158,B64,Components!$J$2:$J$158)</f>
        <v>776</v>
      </c>
    </row>
    <row r="65" customFormat="false" ht="15" hidden="false" customHeight="true" outlineLevel="0" collapsed="false">
      <c r="B65" s="3" t="s">
        <v>63</v>
      </c>
      <c r="D65" s="11" t="n">
        <f aca="false">SUMIF(Components!$G$2:$G$158,B65,Components!$J$2:$J$158)</f>
        <v>1096.81</v>
      </c>
    </row>
    <row r="66" customFormat="false" ht="15" hidden="false" customHeight="true" outlineLevel="0" collapsed="false">
      <c r="B66" s="3" t="s">
        <v>64</v>
      </c>
      <c r="D66" s="11" t="n">
        <f aca="false">SUMIF(Components!$G$2:$G$158,B66,Components!$J$2:$J$158)</f>
        <v>805.145</v>
      </c>
    </row>
    <row r="67" customFormat="false" ht="15" hidden="false" customHeight="true" outlineLevel="0" collapsed="false">
      <c r="B67" s="3" t="s">
        <v>65</v>
      </c>
      <c r="D67" s="11" t="n">
        <f aca="false">SUMIF(Components!$G$2:$G$158,B67,Components!$J$2:$J$158)</f>
        <v>-1650</v>
      </c>
    </row>
    <row r="68" customFormat="false" ht="15" hidden="false" customHeight="true" outlineLevel="0" collapsed="false">
      <c r="B68" s="13" t="s">
        <v>66</v>
      </c>
      <c r="D68" s="14" t="n">
        <f aca="false">SUM(D58:D67)</f>
        <v>20005.775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12"/>
    <col collapsed="false" customWidth="true" hidden="false" outlineLevel="0" max="5" min="5" style="1" width="14"/>
  </cols>
  <sheetData>
    <row r="1" customFormat="false" ht="17.25" hidden="false" customHeight="true" outlineLevel="0" collapsed="false">
      <c r="B1" s="2" t="s">
        <v>67</v>
      </c>
    </row>
    <row r="2" customFormat="false" ht="15" hidden="false" customHeight="true" outlineLevel="0" collapsed="false">
      <c r="B2" s="5" t="s">
        <v>68</v>
      </c>
    </row>
    <row r="4" customFormat="false" ht="15" hidden="false" customHeight="true" outlineLevel="0" collapsed="false">
      <c r="B4" s="6" t="s">
        <v>69</v>
      </c>
      <c r="C4" s="6"/>
      <c r="D4" s="6" t="s">
        <v>5</v>
      </c>
      <c r="E4" s="6" t="s">
        <v>6</v>
      </c>
    </row>
    <row r="5" customFormat="false" ht="15" hidden="false" customHeight="true" outlineLevel="0" collapsed="false">
      <c r="B5" s="3" t="s">
        <v>70</v>
      </c>
      <c r="D5" s="11" t="n">
        <f aca="false">SUMIF(Components!$M$2:$M$158,B5,Components!$J$2:$J$158)</f>
        <v>11444.1025</v>
      </c>
      <c r="E5" s="15" t="n">
        <f aca="false">IF($D$7=0,0,D5/$D$7)</f>
        <v>0.574757479276095</v>
      </c>
    </row>
    <row r="6" customFormat="false" ht="15" hidden="false" customHeight="true" outlineLevel="0" collapsed="false">
      <c r="B6" s="3" t="s">
        <v>71</v>
      </c>
      <c r="D6" s="11" t="n">
        <f aca="false">SUMIF(Components!$M$2:$M$158,B6,Components!$J$2:$J$158)</f>
        <v>8467.0825</v>
      </c>
      <c r="E6" s="15" t="n">
        <f aca="false">IF($D$7=0,0,D6/$D$7)</f>
        <v>0.425242520723905</v>
      </c>
    </row>
    <row r="7" customFormat="false" ht="15" hidden="false" customHeight="true" outlineLevel="0" collapsed="false">
      <c r="B7" s="13" t="s">
        <v>72</v>
      </c>
      <c r="D7" s="14" t="n">
        <f aca="false">D5+D6</f>
        <v>19911.185</v>
      </c>
      <c r="E7" s="15" t="n">
        <f aca="false">IF($D$7=0,0,D7/$D$7)</f>
        <v>1</v>
      </c>
    </row>
    <row r="8" customFormat="false" ht="15" hidden="false" customHeight="true" outlineLevel="0" collapsed="false">
      <c r="B8" s="5" t="s">
        <v>73</v>
      </c>
    </row>
    <row r="10" customFormat="false" ht="15" hidden="false" customHeight="true" outlineLevel="0" collapsed="false">
      <c r="B10" s="6" t="s">
        <v>74</v>
      </c>
      <c r="C10" s="6" t="s">
        <v>4</v>
      </c>
      <c r="D10" s="6" t="s">
        <v>5</v>
      </c>
      <c r="E10" s="6" t="s">
        <v>75</v>
      </c>
    </row>
    <row r="11" customFormat="false" ht="15" hidden="false" customHeight="true" outlineLevel="0" collapsed="false">
      <c r="B11" s="16" t="s">
        <v>70</v>
      </c>
      <c r="C11" s="17"/>
      <c r="D11" s="18" t="n">
        <f aca="false">D5</f>
        <v>11444.1025</v>
      </c>
      <c r="E11" s="17"/>
    </row>
    <row r="12" customFormat="false" ht="15" hidden="false" customHeight="true" outlineLevel="0" collapsed="false">
      <c r="B12" s="19" t="s">
        <v>7</v>
      </c>
      <c r="C12" s="20"/>
      <c r="D12" s="21" t="n">
        <f aca="false">SUMIFS(Components!$J$2:$J$158,Components!$M$2:$M$158,"In-case loop",Components!$B$2:$B$158,B12)</f>
        <v>6769.98</v>
      </c>
      <c r="E12" s="22" t="n">
        <f aca="false">IF($D$11=0,0,D12/$D$11)</f>
        <v>0.591569325772816</v>
      </c>
    </row>
    <row r="13" customFormat="false" ht="15" hidden="false" customHeight="true" outlineLevel="0" collapsed="false">
      <c r="C13" s="3" t="s">
        <v>8</v>
      </c>
      <c r="D13" s="23" t="n">
        <f aca="false">SUMIFS(Components!$J$2:$J$158,Components!$M$2:$M$158,"In-case loop",Components!$B$2:$B$158,$B$12,Components!$C$2:$C$158,C13)</f>
        <v>929.52</v>
      </c>
      <c r="E13" s="15" t="n">
        <f aca="false">IF($D$11=0,0,D13/$D$11)</f>
        <v>0.081222620996273</v>
      </c>
    </row>
    <row r="14" customFormat="false" ht="15" hidden="false" customHeight="true" outlineLevel="0" collapsed="false">
      <c r="C14" s="3" t="s">
        <v>9</v>
      </c>
      <c r="D14" s="23" t="n">
        <f aca="false">SUMIFS(Components!$J$2:$J$158,Components!$M$2:$M$158,"In-case loop",Components!$B$2:$B$158,$B$12,Components!$C$2:$C$158,C14)</f>
        <v>1205.65</v>
      </c>
      <c r="E14" s="15" t="n">
        <f aca="false">IF($D$11=0,0,D14/$D$11)</f>
        <v>0.105351206003267</v>
      </c>
    </row>
    <row r="15" customFormat="false" ht="15" hidden="false" customHeight="true" outlineLevel="0" collapsed="false">
      <c r="C15" s="3" t="s">
        <v>10</v>
      </c>
      <c r="D15" s="23" t="n">
        <f aca="false">SUMIFS(Components!$J$2:$J$158,Components!$M$2:$M$158,"In-case loop",Components!$B$2:$B$158,$B$12,Components!$C$2:$C$158,C15)</f>
        <v>2408.76</v>
      </c>
      <c r="E15" s="15" t="n">
        <f aca="false">IF($D$11=0,0,D15/$D$11)</f>
        <v>0.210480463627445</v>
      </c>
    </row>
    <row r="16" customFormat="false" ht="15" hidden="false" customHeight="true" outlineLevel="0" collapsed="false">
      <c r="C16" s="3" t="s">
        <v>11</v>
      </c>
      <c r="D16" s="23" t="n">
        <f aca="false">SUMIFS(Components!$J$2:$J$158,Components!$M$2:$M$158,"In-case loop",Components!$B$2:$B$158,$B$12,Components!$C$2:$C$158,C16)</f>
        <v>100.31</v>
      </c>
      <c r="E16" s="15" t="n">
        <f aca="false">IF($D$11=0,0,D16/$D$11)</f>
        <v>0.00876521334897167</v>
      </c>
    </row>
    <row r="17" customFormat="false" ht="15" hidden="false" customHeight="true" outlineLevel="0" collapsed="false">
      <c r="C17" s="3" t="s">
        <v>12</v>
      </c>
      <c r="D17" s="23" t="n">
        <f aca="false">SUMIFS(Components!$J$2:$J$158,Components!$M$2:$M$158,"In-case loop",Components!$B$2:$B$158,$B$12,Components!$C$2:$C$158,C17)</f>
        <v>1065.33</v>
      </c>
      <c r="E17" s="15" t="n">
        <f aca="false">IF($D$11=0,0,D17/$D$11)</f>
        <v>0.0930898687773899</v>
      </c>
    </row>
    <row r="18" customFormat="false" ht="15" hidden="false" customHeight="true" outlineLevel="0" collapsed="false">
      <c r="C18" s="3" t="s">
        <v>13</v>
      </c>
      <c r="D18" s="23" t="n">
        <f aca="false">SUMIFS(Components!$J$2:$J$158,Components!$M$2:$M$158,"In-case loop",Components!$B$2:$B$158,$B$12,Components!$C$2:$C$158,C18)</f>
        <v>223.23</v>
      </c>
      <c r="E18" s="15" t="n">
        <f aca="false">IF($D$11=0,0,D18/$D$11)</f>
        <v>0.0195061167968392</v>
      </c>
    </row>
    <row r="19" customFormat="false" ht="15" hidden="false" customHeight="true" outlineLevel="0" collapsed="false">
      <c r="C19" s="3" t="s">
        <v>14</v>
      </c>
      <c r="D19" s="23" t="n">
        <f aca="false">SUMIFS(Components!$J$2:$J$158,Components!$M$2:$M$158,"In-case loop",Components!$B$2:$B$158,$B$12,Components!$C$2:$C$158,C19)</f>
        <v>267.93</v>
      </c>
      <c r="E19" s="15" t="n">
        <f aca="false">IF($D$11=0,0,D19/$D$11)</f>
        <v>0.023412058743794</v>
      </c>
    </row>
    <row r="20" customFormat="false" ht="15" hidden="false" customHeight="true" outlineLevel="0" collapsed="false">
      <c r="C20" s="3" t="s">
        <v>15</v>
      </c>
      <c r="D20" s="23" t="n">
        <f aca="false">SUMIFS(Components!$J$2:$J$158,Components!$M$2:$M$158,"In-case loop",Components!$B$2:$B$158,$B$12,Components!$C$2:$C$158,C20)</f>
        <v>78.09</v>
      </c>
      <c r="E20" s="15" t="n">
        <f aca="false">IF($D$11=0,0,D20/$D$11)</f>
        <v>0.00682360193820354</v>
      </c>
    </row>
    <row r="21" customFormat="false" ht="15" hidden="false" customHeight="true" outlineLevel="0" collapsed="false">
      <c r="C21" s="3" t="s">
        <v>16</v>
      </c>
      <c r="D21" s="23" t="n">
        <f aca="false">SUMIFS(Components!$J$2:$J$158,Components!$M$2:$M$158,"In-case loop",Components!$B$2:$B$158,$B$12,Components!$C$2:$C$158,C21)</f>
        <v>491.16</v>
      </c>
      <c r="E21" s="15" t="n">
        <f aca="false">IF($D$11=0,0,D21/$D$11)</f>
        <v>0.0429181755406333</v>
      </c>
    </row>
    <row r="22" customFormat="false" ht="15" hidden="false" customHeight="true" outlineLevel="0" collapsed="false">
      <c r="B22" s="19" t="s">
        <v>17</v>
      </c>
      <c r="C22" s="20"/>
      <c r="D22" s="21" t="n">
        <f aca="false">SUMIFS(Components!$J$2:$J$158,Components!$M$2:$M$158,"In-case loop",Components!$B$2:$B$158,B22)</f>
        <v>3551.78</v>
      </c>
      <c r="E22" s="22" t="n">
        <f aca="false">IF($D$11=0,0,D22/$D$11)</f>
        <v>0.310358981842394</v>
      </c>
    </row>
    <row r="23" customFormat="false" ht="15" hidden="false" customHeight="true" outlineLevel="0" collapsed="false">
      <c r="C23" s="3" t="s">
        <v>18</v>
      </c>
      <c r="D23" s="23" t="n">
        <f aca="false">SUMIFS(Components!$J$2:$J$158,Components!$M$2:$M$158,"In-case loop",Components!$B$2:$B$158,$B$22,Components!$C$2:$C$158,C23)</f>
        <v>1006</v>
      </c>
      <c r="E23" s="15" t="n">
        <f aca="false">IF($D$11=0,0,D23/$D$11)</f>
        <v>0.0879055391193848</v>
      </c>
    </row>
    <row r="24" customFormat="false" ht="15" hidden="false" customHeight="true" outlineLevel="0" collapsed="false">
      <c r="C24" s="3" t="s">
        <v>19</v>
      </c>
      <c r="D24" s="23" t="n">
        <f aca="false">SUMIFS(Components!$J$2:$J$158,Components!$M$2:$M$158,"In-case loop",Components!$B$2:$B$158,$B$22,Components!$C$2:$C$158,C24)</f>
        <v>629</v>
      </c>
      <c r="E24" s="15" t="n">
        <f aca="false">IF($D$11=0,0,D24/$D$11)</f>
        <v>0.054962807262518</v>
      </c>
    </row>
    <row r="25" customFormat="false" ht="15" hidden="false" customHeight="true" outlineLevel="0" collapsed="false">
      <c r="C25" s="3" t="s">
        <v>20</v>
      </c>
      <c r="D25" s="23" t="n">
        <f aca="false">SUMIFS(Components!$J$2:$J$158,Components!$M$2:$M$158,"In-case loop",Components!$B$2:$B$158,$B$22,Components!$C$2:$C$158,C25)</f>
        <v>218</v>
      </c>
      <c r="E25" s="15" t="n">
        <f aca="false">IF($D$11=0,0,D25/$D$11)</f>
        <v>0.0190491128509204</v>
      </c>
    </row>
    <row r="26" customFormat="false" ht="15" hidden="false" customHeight="true" outlineLevel="0" collapsed="false">
      <c r="C26" s="3" t="s">
        <v>21</v>
      </c>
      <c r="D26" s="23" t="n">
        <f aca="false">SUMIFS(Components!$J$2:$J$158,Components!$M$2:$M$158,"In-case loop",Components!$B$2:$B$158,$B$22,Components!$C$2:$C$158,C26)</f>
        <v>705.78</v>
      </c>
      <c r="E26" s="15" t="n">
        <f aca="false">IF($D$11=0,0,D26/$D$11)</f>
        <v>0.0616719397611128</v>
      </c>
    </row>
    <row r="27" customFormat="false" ht="15" hidden="false" customHeight="true" outlineLevel="0" collapsed="false">
      <c r="C27" s="3" t="s">
        <v>22</v>
      </c>
      <c r="D27" s="23" t="n">
        <f aca="false">SUMIFS(Components!$J$2:$J$158,Components!$M$2:$M$158,"In-case loop",Components!$B$2:$B$158,$B$22,Components!$C$2:$C$158,C27)</f>
        <v>598</v>
      </c>
      <c r="E27" s="15" t="n">
        <f aca="false">IF($D$11=0,0,D27/$D$11)</f>
        <v>0.0522539884626164</v>
      </c>
    </row>
    <row r="28" customFormat="false" ht="15" hidden="false" customHeight="true" outlineLevel="0" collapsed="false">
      <c r="C28" s="3" t="s">
        <v>23</v>
      </c>
      <c r="D28" s="23" t="n">
        <f aca="false">SUMIFS(Components!$J$2:$J$158,Components!$M$2:$M$158,"In-case loop",Components!$B$2:$B$158,$B$22,Components!$C$2:$C$158,C28)</f>
        <v>395</v>
      </c>
      <c r="E28" s="15" t="n">
        <f aca="false">IF($D$11=0,0,D28/$D$11)</f>
        <v>0.034515594385842</v>
      </c>
    </row>
    <row r="29" customFormat="false" ht="15" hidden="false" customHeight="true" outlineLevel="0" collapsed="false">
      <c r="B29" s="19" t="s">
        <v>24</v>
      </c>
      <c r="C29" s="20"/>
      <c r="D29" s="21" t="n">
        <f aca="false">SUMIFS(Components!$J$2:$J$158,Components!$M$2:$M$158,"In-case loop",Components!$B$2:$B$158,B29)</f>
        <v>1598.35</v>
      </c>
      <c r="E29" s="22" t="n">
        <f aca="false">IF($D$11=0,0,D29/$D$11)</f>
        <v>0.139665823510406</v>
      </c>
    </row>
    <row r="30" customFormat="false" ht="15" hidden="false" customHeight="true" outlineLevel="0" collapsed="false">
      <c r="C30" s="3" t="s">
        <v>25</v>
      </c>
      <c r="D30" s="23" t="n">
        <f aca="false">SUMIFS(Components!$J$2:$J$158,Components!$M$2:$M$158,"In-case loop",Components!$B$2:$B$158,$B$29,Components!$C$2:$C$158,C30)</f>
        <v>1092.45</v>
      </c>
      <c r="E30" s="15" t="n">
        <f aca="false">IF($D$11=0,0,D30/$D$11)</f>
        <v>0.0954596483210457</v>
      </c>
    </row>
    <row r="31" customFormat="false" ht="15" hidden="false" customHeight="true" outlineLevel="0" collapsed="false">
      <c r="C31" s="3" t="s">
        <v>26</v>
      </c>
      <c r="D31" s="23" t="n">
        <f aca="false">SUMIFS(Components!$J$2:$J$158,Components!$M$2:$M$158,"In-case loop",Components!$B$2:$B$158,$B$29,Components!$C$2:$C$158,C31)</f>
        <v>452.01</v>
      </c>
      <c r="E31" s="15" t="n">
        <f aca="false">IF($D$11=0,0,D31/$D$11)</f>
        <v>0.0394971995401125</v>
      </c>
    </row>
    <row r="32" customFormat="false" ht="15" hidden="false" customHeight="true" outlineLevel="0" collapsed="false">
      <c r="C32" s="3" t="s">
        <v>27</v>
      </c>
      <c r="D32" s="23" t="n">
        <f aca="false">SUMIFS(Components!$J$2:$J$158,Components!$M$2:$M$158,"In-case loop",Components!$B$2:$B$158,$B$29,Components!$C$2:$C$158,C32)</f>
        <v>53.89</v>
      </c>
      <c r="E32" s="15" t="n">
        <f aca="false">IF($D$11=0,0,D32/$D$11)</f>
        <v>0.00470897564924816</v>
      </c>
    </row>
    <row r="33" customFormat="false" ht="15" hidden="false" customHeight="true" outlineLevel="0" collapsed="false">
      <c r="B33" s="19" t="s">
        <v>38</v>
      </c>
      <c r="C33" s="20"/>
      <c r="D33" s="21" t="n">
        <f aca="false">SUMIFS(Components!$J$2:$J$158,Components!$M$2:$M$158,"In-case loop",Components!$B$2:$B$158,B33)</f>
        <v>460.96</v>
      </c>
      <c r="E33" s="22" t="n">
        <f aca="false">IF($D$11=0,0,D33/$D$11)</f>
        <v>0.0402792617420195</v>
      </c>
    </row>
    <row r="34" customFormat="false" ht="15" hidden="false" customHeight="true" outlineLevel="0" collapsed="false">
      <c r="C34" s="3" t="s">
        <v>39</v>
      </c>
      <c r="D34" s="23" t="n">
        <f aca="false">SUMIFS(Components!$J$2:$J$158,Components!$M$2:$M$158,"In-case loop",Components!$B$2:$B$158,$B$33,Components!$C$2:$C$158,C34)</f>
        <v>140.23</v>
      </c>
      <c r="E34" s="15" t="n">
        <f aca="false">IF($D$11=0,0,D34/$D$11)</f>
        <v>0.0122534729132319</v>
      </c>
    </row>
    <row r="35" customFormat="false" ht="15" hidden="false" customHeight="true" outlineLevel="0" collapsed="false">
      <c r="C35" s="3" t="s">
        <v>40</v>
      </c>
      <c r="D35" s="23" t="n">
        <f aca="false">SUMIFS(Components!$J$2:$J$158,Components!$M$2:$M$158,"In-case loop",Components!$B$2:$B$158,$B$33,Components!$C$2:$C$158,C35)</f>
        <v>139.59</v>
      </c>
      <c r="E35" s="15" t="n">
        <f aca="false">IF($D$11=0,0,D35/$D$11)</f>
        <v>0.0121975489122017</v>
      </c>
    </row>
    <row r="36" customFormat="false" ht="15" hidden="false" customHeight="true" outlineLevel="0" collapsed="false">
      <c r="C36" s="3" t="s">
        <v>41</v>
      </c>
      <c r="D36" s="23" t="n">
        <f aca="false">SUMIFS(Components!$J$2:$J$158,Components!$M$2:$M$158,"In-case loop",Components!$B$2:$B$158,$B$33,Components!$C$2:$C$158,C36)</f>
        <v>181.14</v>
      </c>
      <c r="E36" s="15" t="n">
        <f aca="false">IF($D$11=0,0,D36/$D$11)</f>
        <v>0.0158282399165859</v>
      </c>
    </row>
    <row r="37" customFormat="false" ht="15" hidden="false" customHeight="true" outlineLevel="0" collapsed="false">
      <c r="B37" s="19" t="s">
        <v>42</v>
      </c>
      <c r="C37" s="20"/>
      <c r="D37" s="21" t="n">
        <f aca="false">SUMIFS(Components!$J$2:$J$158,Components!$M$2:$M$158,"In-case loop",Components!$B$2:$B$158,B37)</f>
        <v>713.0325</v>
      </c>
      <c r="E37" s="22" t="n">
        <f aca="false">IF($D$11=0,0,D37/$D$11)</f>
        <v>0.0623056722884123</v>
      </c>
    </row>
    <row r="38" customFormat="false" ht="15" hidden="false" customHeight="true" outlineLevel="0" collapsed="false">
      <c r="C38" s="3" t="s">
        <v>43</v>
      </c>
      <c r="D38" s="23" t="n">
        <f aca="false">SUMIFS(Components!$J$2:$J$158,Components!$M$2:$M$158,"In-case loop",Components!$B$2:$B$158,$B$37,Components!$C$2:$C$158,C38)</f>
        <v>438.83</v>
      </c>
      <c r="E38" s="15" t="n">
        <f aca="false">IF($D$11=0,0,D38/$D$11)</f>
        <v>0.0383455146438963</v>
      </c>
    </row>
    <row r="39" customFormat="false" ht="15" hidden="false" customHeight="true" outlineLevel="0" collapsed="false">
      <c r="C39" s="3" t="s">
        <v>45</v>
      </c>
      <c r="D39" s="23" t="n">
        <f aca="false">SUMIFS(Components!$J$2:$J$158,Components!$M$2:$M$158,"In-case loop",Components!$B$2:$B$158,$B$37,Components!$C$2:$C$158,C39)</f>
        <v>274.2025</v>
      </c>
      <c r="E39" s="15" t="n">
        <f aca="false">IF($D$11=0,0,D39/$D$11)</f>
        <v>0.023960157644516</v>
      </c>
    </row>
    <row r="40" customFormat="false" ht="15" hidden="false" customHeight="true" outlineLevel="0" collapsed="false">
      <c r="B40" s="19" t="s">
        <v>46</v>
      </c>
      <c r="C40" s="20"/>
      <c r="D40" s="21" t="n">
        <f aca="false">SUMIFS(Components!$J$2:$J$158,Components!$M$2:$M$158,"In-case loop",Components!$B$2:$B$158,B40)</f>
        <v>-1650</v>
      </c>
      <c r="E40" s="22" t="n">
        <f aca="false">IF($D$11=0,0,D40/$D$11)</f>
        <v>-0.144179065156049</v>
      </c>
    </row>
    <row r="41" customFormat="false" ht="15" hidden="false" customHeight="true" outlineLevel="0" collapsed="false">
      <c r="C41" s="3" t="s">
        <v>47</v>
      </c>
      <c r="D41" s="23" t="n">
        <f aca="false">SUMIFS(Components!$J$2:$J$158,Components!$M$2:$M$158,"In-case loop",Components!$B$2:$B$158,$B$40,Components!$C$2:$C$158,C41)</f>
        <v>-1650</v>
      </c>
      <c r="E41" s="15" t="n">
        <f aca="false">IF($D$11=0,0,D41/$D$11)</f>
        <v>-0.144179065156049</v>
      </c>
    </row>
    <row r="43" customFormat="false" ht="15" hidden="false" customHeight="true" outlineLevel="0" collapsed="false">
      <c r="B43" s="16" t="s">
        <v>71</v>
      </c>
      <c r="C43" s="17"/>
      <c r="D43" s="18" t="n">
        <f aca="false">D6</f>
        <v>8467.0825</v>
      </c>
      <c r="E43" s="17"/>
    </row>
    <row r="44" customFormat="false" ht="15" hidden="false" customHeight="true" outlineLevel="0" collapsed="false">
      <c r="B44" s="19" t="s">
        <v>7</v>
      </c>
      <c r="C44" s="20"/>
      <c r="D44" s="21" t="n">
        <f aca="false">SUMIFS(Components!$J$2:$J$158,Components!$M$2:$M$158,"External extension",Components!$B$2:$B$158,B44)</f>
        <v>4987.15</v>
      </c>
      <c r="E44" s="22" t="n">
        <f aca="false">IF($D$43=0,0,D44/$D$43)</f>
        <v>0.589004536096111</v>
      </c>
    </row>
    <row r="45" customFormat="false" ht="15" hidden="false" customHeight="true" outlineLevel="0" collapsed="false">
      <c r="C45" s="3" t="s">
        <v>8</v>
      </c>
      <c r="D45" s="23" t="n">
        <f aca="false">SUMIFS(Components!$J$2:$J$158,Components!$M$2:$M$158,"External extension",Components!$B$2:$B$158,$B$44,Components!$C$2:$C$158,C45)</f>
        <v>650</v>
      </c>
      <c r="E45" s="15" t="n">
        <f aca="false">IF($D$43=0,0,D45/$D$43)</f>
        <v>0.0767678831521956</v>
      </c>
    </row>
    <row r="46" customFormat="false" ht="15" hidden="false" customHeight="true" outlineLevel="0" collapsed="false">
      <c r="C46" s="3" t="s">
        <v>9</v>
      </c>
      <c r="D46" s="23" t="n">
        <f aca="false">SUMIFS(Components!$J$2:$J$158,Components!$M$2:$M$158,"External extension",Components!$B$2:$B$158,$B$44,Components!$C$2:$C$158,C46)</f>
        <v>450</v>
      </c>
      <c r="E46" s="15" t="n">
        <f aca="false">IF($D$43=0,0,D46/$D$43)</f>
        <v>0.0531469960284431</v>
      </c>
    </row>
    <row r="47" customFormat="false" ht="15" hidden="false" customHeight="true" outlineLevel="0" collapsed="false">
      <c r="C47" s="3" t="s">
        <v>11</v>
      </c>
      <c r="D47" s="23" t="n">
        <f aca="false">SUMIFS(Components!$J$2:$J$158,Components!$M$2:$M$158,"External extension",Components!$B$2:$B$158,$B$44,Components!$C$2:$C$158,C47)</f>
        <v>1754.16</v>
      </c>
      <c r="E47" s="15" t="n">
        <f aca="false">IF($D$43=0,0,D47/$D$43)</f>
        <v>0.207174076785008</v>
      </c>
    </row>
    <row r="48" customFormat="false" ht="15" hidden="false" customHeight="true" outlineLevel="0" collapsed="false">
      <c r="C48" s="3" t="s">
        <v>12</v>
      </c>
      <c r="D48" s="23" t="n">
        <f aca="false">SUMIFS(Components!$J$2:$J$158,Components!$M$2:$M$158,"External extension",Components!$B$2:$B$158,$B$44,Components!$C$2:$C$158,C48)</f>
        <v>1553.29</v>
      </c>
      <c r="E48" s="15" t="n">
        <f aca="false">IF($D$43=0,0,D48/$D$43)</f>
        <v>0.183450438802267</v>
      </c>
    </row>
    <row r="49" customFormat="false" ht="15" hidden="false" customHeight="true" outlineLevel="0" collapsed="false">
      <c r="C49" s="3" t="s">
        <v>13</v>
      </c>
      <c r="D49" s="23" t="n">
        <f aca="false">SUMIFS(Components!$J$2:$J$158,Components!$M$2:$M$158,"External extension",Components!$B$2:$B$158,$B$44,Components!$C$2:$C$158,C49)</f>
        <v>258.5</v>
      </c>
      <c r="E49" s="15" t="n">
        <f aca="false">IF($D$43=0,0,D49/$D$43)</f>
        <v>0.0305299966074501</v>
      </c>
    </row>
    <row r="50" customFormat="false" ht="15" hidden="false" customHeight="true" outlineLevel="0" collapsed="false">
      <c r="C50" s="3" t="s">
        <v>14</v>
      </c>
      <c r="D50" s="23" t="n">
        <f aca="false">SUMIFS(Components!$J$2:$J$158,Components!$M$2:$M$158,"External extension",Components!$B$2:$B$158,$B$44,Components!$C$2:$C$158,C50)</f>
        <v>136.84</v>
      </c>
      <c r="E50" s="15" t="n">
        <f aca="false">IF($D$43=0,0,D50/$D$43)</f>
        <v>0.0161614109700715</v>
      </c>
    </row>
    <row r="51" customFormat="false" ht="15" hidden="false" customHeight="true" outlineLevel="0" collapsed="false">
      <c r="C51" s="3" t="s">
        <v>15</v>
      </c>
      <c r="D51" s="23" t="n">
        <f aca="false">SUMIFS(Components!$J$2:$J$158,Components!$M$2:$M$158,"External extension",Components!$B$2:$B$158,$B$44,Components!$C$2:$C$158,C51)</f>
        <v>184.36</v>
      </c>
      <c r="E51" s="15" t="n">
        <f aca="false">IF($D$43=0,0,D51/$D$43)</f>
        <v>0.021773733750675</v>
      </c>
    </row>
    <row r="52" customFormat="false" ht="15" hidden="false" customHeight="true" outlineLevel="0" collapsed="false">
      <c r="B52" s="19" t="s">
        <v>28</v>
      </c>
      <c r="C52" s="20"/>
      <c r="D52" s="21" t="n">
        <f aca="false">SUMIFS(Components!$J$2:$J$158,Components!$M$2:$M$158,"External extension",Components!$B$2:$B$158,B52)</f>
        <v>2649.02</v>
      </c>
      <c r="E52" s="22" t="n">
        <f aca="false">IF($D$43=0,0,D52/$D$43)</f>
        <v>0.312861012042814</v>
      </c>
    </row>
    <row r="53" customFormat="false" ht="15" hidden="false" customHeight="true" outlineLevel="0" collapsed="false">
      <c r="C53" s="3" t="s">
        <v>29</v>
      </c>
      <c r="D53" s="23" t="n">
        <f aca="false">SUMIFS(Components!$J$2:$J$158,Components!$M$2:$M$158,"External extension",Components!$B$2:$B$158,$B$52,Components!$C$2:$C$158,C53)</f>
        <v>418.57</v>
      </c>
      <c r="E53" s="15" t="n">
        <f aca="false">IF($D$43=0,0,D53/$D$43)</f>
        <v>0.0494349736169454</v>
      </c>
    </row>
    <row r="54" customFormat="false" ht="15" hidden="false" customHeight="true" outlineLevel="0" collapsed="false">
      <c r="C54" s="3" t="s">
        <v>30</v>
      </c>
      <c r="D54" s="23" t="n">
        <f aca="false">SUMIFS(Components!$J$2:$J$158,Components!$M$2:$M$158,"External extension",Components!$B$2:$B$158,$B$52,Components!$C$2:$C$158,C54)</f>
        <v>190.77</v>
      </c>
      <c r="E54" s="15" t="n">
        <f aca="false">IF($D$43=0,0,D54/$D$43)</f>
        <v>0.0225307831829913</v>
      </c>
    </row>
    <row r="55" customFormat="false" ht="15" hidden="false" customHeight="true" outlineLevel="0" collapsed="false">
      <c r="C55" s="3" t="s">
        <v>31</v>
      </c>
      <c r="D55" s="23" t="n">
        <f aca="false">SUMIFS(Components!$J$2:$J$158,Components!$M$2:$M$158,"External extension",Components!$B$2:$B$158,$B$52,Components!$C$2:$C$158,C55)</f>
        <v>71.56</v>
      </c>
      <c r="E55" s="15" t="n">
        <f aca="false">IF($D$43=0,0,D55/$D$43)</f>
        <v>0.00845155341287864</v>
      </c>
    </row>
    <row r="56" customFormat="false" ht="15" hidden="false" customHeight="true" outlineLevel="0" collapsed="false">
      <c r="C56" s="3" t="s">
        <v>32</v>
      </c>
      <c r="D56" s="23" t="n">
        <f aca="false">SUMIFS(Components!$J$2:$J$158,Components!$M$2:$M$158,"External extension",Components!$B$2:$B$158,$B$52,Components!$C$2:$C$158,C56)</f>
        <v>395.28</v>
      </c>
      <c r="E56" s="15" t="n">
        <f aca="false">IF($D$43=0,0,D56/$D$43)</f>
        <v>0.0466843213113844</v>
      </c>
    </row>
    <row r="57" customFormat="false" ht="15" hidden="false" customHeight="true" outlineLevel="0" collapsed="false">
      <c r="C57" s="3" t="s">
        <v>33</v>
      </c>
      <c r="D57" s="23" t="n">
        <f aca="false">SUMIFS(Components!$J$2:$J$158,Components!$M$2:$M$158,"External extension",Components!$B$2:$B$158,$B$52,Components!$C$2:$C$158,C57)</f>
        <v>189.97</v>
      </c>
      <c r="E57" s="15" t="n">
        <f aca="false">IF($D$43=0,0,D57/$D$43)</f>
        <v>0.0224362996344963</v>
      </c>
    </row>
    <row r="58" customFormat="false" ht="15" hidden="false" customHeight="true" outlineLevel="0" collapsed="false">
      <c r="C58" s="3" t="s">
        <v>34</v>
      </c>
      <c r="D58" s="23" t="n">
        <f aca="false">SUMIFS(Components!$J$2:$J$158,Components!$M$2:$M$158,"External extension",Components!$B$2:$B$158,$B$52,Components!$C$2:$C$158,C58)</f>
        <v>564.63</v>
      </c>
      <c r="E58" s="15" t="n">
        <f aca="false">IF($D$43=0,0,D58/$D$43)</f>
        <v>0.0666853074834218</v>
      </c>
    </row>
    <row r="59" customFormat="false" ht="15" hidden="false" customHeight="true" outlineLevel="0" collapsed="false">
      <c r="C59" s="3" t="s">
        <v>35</v>
      </c>
      <c r="D59" s="23" t="n">
        <f aca="false">SUMIFS(Components!$J$2:$J$158,Components!$M$2:$M$158,"External extension",Components!$B$2:$B$158,$B$52,Components!$C$2:$C$158,C59)</f>
        <v>549.45</v>
      </c>
      <c r="E59" s="15" t="n">
        <f aca="false">IF($D$43=0,0,D59/$D$43)</f>
        <v>0.064892482150729</v>
      </c>
    </row>
    <row r="60" customFormat="false" ht="15" hidden="false" customHeight="true" outlineLevel="0" collapsed="false">
      <c r="C60" s="3" t="s">
        <v>36</v>
      </c>
      <c r="D60" s="23" t="n">
        <f aca="false">SUMIFS(Components!$J$2:$J$158,Components!$M$2:$M$158,"External extension",Components!$B$2:$B$158,$B$52,Components!$C$2:$C$158,C60)</f>
        <v>107.42</v>
      </c>
      <c r="E60" s="15" t="n">
        <f aca="false">IF($D$43=0,0,D60/$D$43)</f>
        <v>0.0126867784741675</v>
      </c>
    </row>
    <row r="61" customFormat="false" ht="15" hidden="false" customHeight="true" outlineLevel="0" collapsed="false">
      <c r="C61" s="3" t="s">
        <v>37</v>
      </c>
      <c r="D61" s="23" t="n">
        <f aca="false">SUMIFS(Components!$J$2:$J$158,Components!$M$2:$M$158,"External extension",Components!$B$2:$B$158,$B$52,Components!$C$2:$C$158,C61)</f>
        <v>161.37</v>
      </c>
      <c r="E61" s="15" t="n">
        <f aca="false">IF($D$43=0,0,D61/$D$43)</f>
        <v>0.0190585127757997</v>
      </c>
    </row>
    <row r="62" customFormat="false" ht="15" hidden="false" customHeight="true" outlineLevel="0" collapsed="false">
      <c r="B62" s="19" t="s">
        <v>42</v>
      </c>
      <c r="C62" s="20"/>
      <c r="D62" s="21" t="n">
        <f aca="false">SUMIFS(Components!$J$2:$J$158,Components!$M$2:$M$158,"External extension",Components!$B$2:$B$158,B62)</f>
        <v>830.9125</v>
      </c>
      <c r="E62" s="22" t="n">
        <f aca="false">IF($D$43=0,0,D62/$D$43)</f>
        <v>0.0981344518610749</v>
      </c>
    </row>
    <row r="63" customFormat="false" ht="15" hidden="false" customHeight="true" outlineLevel="0" collapsed="false">
      <c r="C63" s="3" t="s">
        <v>43</v>
      </c>
      <c r="D63" s="23" t="n">
        <f aca="false">SUMIFS(Components!$J$2:$J$158,Components!$M$2:$M$158,"External extension",Components!$B$2:$B$158,$B$62,Components!$C$2:$C$158,C63)</f>
        <v>468.71</v>
      </c>
      <c r="E63" s="15" t="n">
        <f aca="false">IF($D$43=0,0,D63/$D$43)</f>
        <v>0.0553567300188701</v>
      </c>
    </row>
    <row r="64" customFormat="false" ht="15" hidden="false" customHeight="true" outlineLevel="0" collapsed="false">
      <c r="C64" s="3" t="s">
        <v>44</v>
      </c>
      <c r="D64" s="23" t="n">
        <f aca="false">SUMIFS(Components!$J$2:$J$158,Components!$M$2:$M$158,"External extension",Components!$B$2:$B$158,$B$62,Components!$C$2:$C$158,C64)</f>
        <v>-168.74</v>
      </c>
      <c r="E64" s="15" t="n">
        <f aca="false">IF($D$43=0,0,D64/$D$43)</f>
        <v>-0.01992894246631</v>
      </c>
    </row>
    <row r="65" customFormat="false" ht="15" hidden="false" customHeight="true" outlineLevel="0" collapsed="false">
      <c r="C65" s="3" t="s">
        <v>45</v>
      </c>
      <c r="D65" s="23" t="n">
        <f aca="false">SUMIFS(Components!$J$2:$J$158,Components!$M$2:$M$158,"External extension",Components!$B$2:$B$158,$B$62,Components!$C$2:$C$158,C65)</f>
        <v>530.9425</v>
      </c>
      <c r="E65" s="15" t="n">
        <f aca="false">IF($D$43=0,0,D65/$D$43)</f>
        <v>0.0627066643085148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9" min="7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44"/>
  </cols>
  <sheetData>
    <row r="1" customFormat="false" ht="17.25" hidden="false" customHeight="true" outlineLevel="0" collapsed="false">
      <c r="B1" s="2" t="s">
        <v>76</v>
      </c>
    </row>
    <row r="2" customFormat="false" ht="15" hidden="false" customHeight="true" outlineLevel="0" collapsed="false">
      <c r="B2" s="5" t="s">
        <v>77</v>
      </c>
    </row>
    <row r="4" customFormat="false" ht="39" hidden="false" customHeight="true" outlineLevel="0" collapsed="false">
      <c r="B4" s="24" t="s">
        <v>78</v>
      </c>
      <c r="C4" s="24" t="s">
        <v>79</v>
      </c>
      <c r="D4" s="24" t="s">
        <v>80</v>
      </c>
      <c r="E4" s="24" t="s">
        <v>81</v>
      </c>
      <c r="F4" s="24" t="s">
        <v>82</v>
      </c>
      <c r="G4" s="24" t="s">
        <v>83</v>
      </c>
      <c r="H4" s="24" t="s">
        <v>84</v>
      </c>
      <c r="I4" s="24" t="s">
        <v>85</v>
      </c>
      <c r="J4" s="24" t="s">
        <v>86</v>
      </c>
      <c r="K4" s="24" t="s">
        <v>87</v>
      </c>
      <c r="L4" s="24" t="s">
        <v>88</v>
      </c>
    </row>
    <row r="5" customFormat="false" ht="15" hidden="false" customHeight="true" outlineLevel="0" collapsed="false">
      <c r="B5" s="25" t="s">
        <v>89</v>
      </c>
      <c r="C5" s="25" t="s">
        <v>90</v>
      </c>
      <c r="D5" s="26" t="n">
        <v>1</v>
      </c>
      <c r="E5" s="27" t="n">
        <v>2999</v>
      </c>
      <c r="F5" s="27" t="n">
        <v>-2100</v>
      </c>
      <c r="G5" s="27" t="n">
        <v>3600</v>
      </c>
      <c r="H5" s="28" t="n">
        <f aca="false">D5*E5+F5</f>
        <v>899</v>
      </c>
      <c r="I5" s="28" t="n">
        <f aca="false">D5*G5</f>
        <v>3600</v>
      </c>
      <c r="J5" s="28" t="n">
        <f aca="false">I5-H5</f>
        <v>2701</v>
      </c>
      <c r="K5" s="29" t="n">
        <f aca="false">IF(I5=0,0,J5/I5)</f>
        <v>0.750277777777778</v>
      </c>
      <c r="L5" s="30" t="s">
        <v>91</v>
      </c>
    </row>
    <row r="6" customFormat="false" ht="15" hidden="false" customHeight="true" outlineLevel="0" collapsed="false">
      <c r="B6" s="25" t="s">
        <v>92</v>
      </c>
      <c r="C6" s="25" t="s">
        <v>93</v>
      </c>
      <c r="D6" s="26" t="n">
        <v>1</v>
      </c>
      <c r="E6" s="27" t="n">
        <v>2500</v>
      </c>
      <c r="F6" s="27" t="n">
        <v>0</v>
      </c>
      <c r="G6" s="27" t="n">
        <v>5500</v>
      </c>
      <c r="H6" s="28" t="n">
        <f aca="false">D6*E6+F6</f>
        <v>2500</v>
      </c>
      <c r="I6" s="28" t="n">
        <f aca="false">D6*G6</f>
        <v>5500</v>
      </c>
      <c r="J6" s="28" t="n">
        <f aca="false">I6-H6</f>
        <v>3000</v>
      </c>
      <c r="K6" s="29" t="n">
        <f aca="false">IF(I6=0,0,J6/I6)</f>
        <v>0.545454545454545</v>
      </c>
      <c r="L6" s="30"/>
    </row>
    <row r="7" customFormat="false" ht="15" hidden="false" customHeight="true" outlineLevel="0" collapsed="false">
      <c r="B7" s="25" t="s">
        <v>94</v>
      </c>
      <c r="C7" s="25" t="s">
        <v>95</v>
      </c>
      <c r="D7" s="26" t="n">
        <v>1</v>
      </c>
      <c r="E7" s="27" t="n">
        <v>6783</v>
      </c>
      <c r="F7" s="27" t="n">
        <v>0</v>
      </c>
      <c r="G7" s="27" t="n">
        <v>16800</v>
      </c>
      <c r="H7" s="28" t="n">
        <f aca="false">D7*E7+F7</f>
        <v>6783</v>
      </c>
      <c r="I7" s="28" t="n">
        <f aca="false">D7*G7</f>
        <v>16800</v>
      </c>
      <c r="J7" s="28" t="n">
        <f aca="false">I7-H7</f>
        <v>10017</v>
      </c>
      <c r="K7" s="29" t="n">
        <f aca="false">IF(I7=0,0,J7/I7)</f>
        <v>0.59625</v>
      </c>
      <c r="L7" s="30" t="s">
        <v>96</v>
      </c>
    </row>
    <row r="8" customFormat="false" ht="15" hidden="false" customHeight="true" outlineLevel="0" collapsed="false">
      <c r="B8" s="25" t="s">
        <v>97</v>
      </c>
      <c r="C8" s="25" t="s">
        <v>98</v>
      </c>
      <c r="D8" s="26" t="n">
        <v>1</v>
      </c>
      <c r="E8" s="27" t="n">
        <v>2490</v>
      </c>
      <c r="F8" s="27" t="n">
        <v>0</v>
      </c>
      <c r="G8" s="27" t="n">
        <v>4400</v>
      </c>
      <c r="H8" s="28" t="n">
        <f aca="false">D8*E8+F8</f>
        <v>2490</v>
      </c>
      <c r="I8" s="28" t="n">
        <f aca="false">D8*G8</f>
        <v>4400</v>
      </c>
      <c r="J8" s="28" t="n">
        <f aca="false">I8-H8</f>
        <v>1910</v>
      </c>
      <c r="K8" s="29" t="n">
        <f aca="false">IF(I8=0,0,J8/I8)</f>
        <v>0.434090909090909</v>
      </c>
      <c r="L8" s="30"/>
    </row>
    <row r="9" customFormat="false" ht="15" hidden="false" customHeight="true" outlineLevel="0" collapsed="false">
      <c r="B9" s="25" t="s">
        <v>99</v>
      </c>
      <c r="C9" s="25" t="s">
        <v>100</v>
      </c>
      <c r="D9" s="26" t="n">
        <v>1</v>
      </c>
      <c r="E9" s="27" t="n">
        <v>1000</v>
      </c>
      <c r="F9" s="27" t="n">
        <v>-1000</v>
      </c>
      <c r="G9" s="27" t="n">
        <v>1900</v>
      </c>
      <c r="H9" s="28" t="n">
        <f aca="false">D9*E9+F9</f>
        <v>0</v>
      </c>
      <c r="I9" s="28" t="n">
        <f aca="false">D9*G9</f>
        <v>1900</v>
      </c>
      <c r="J9" s="28" t="n">
        <f aca="false">I9-H9</f>
        <v>1900</v>
      </c>
      <c r="K9" s="29" t="n">
        <f aca="false">IF(I9=0,0,J9/I9)</f>
        <v>1</v>
      </c>
      <c r="L9" s="30" t="s">
        <v>101</v>
      </c>
    </row>
    <row r="10" customFormat="false" ht="15" hidden="false" customHeight="true" outlineLevel="0" collapsed="false">
      <c r="B10" s="25" t="s">
        <v>102</v>
      </c>
      <c r="C10" s="25" t="s">
        <v>103</v>
      </c>
      <c r="D10" s="26" t="n">
        <v>4</v>
      </c>
      <c r="E10" s="27" t="n">
        <v>340</v>
      </c>
      <c r="F10" s="27" t="n">
        <v>0</v>
      </c>
      <c r="G10" s="27" t="n">
        <v>340</v>
      </c>
      <c r="H10" s="28" t="n">
        <f aca="false">D10*E10+F10</f>
        <v>1360</v>
      </c>
      <c r="I10" s="28" t="n">
        <f aca="false">D10*G10</f>
        <v>1360</v>
      </c>
      <c r="J10" s="28" t="n">
        <f aca="false">I10-H10</f>
        <v>0</v>
      </c>
      <c r="K10" s="29" t="n">
        <f aca="false">IF(I10=0,0,J10/I10)</f>
        <v>0</v>
      </c>
      <c r="L10" s="30"/>
    </row>
    <row r="11" customFormat="false" ht="15" hidden="false" customHeight="true" outlineLevel="0" collapsed="false">
      <c r="B11" s="25" t="s">
        <v>104</v>
      </c>
      <c r="C11" s="25" t="s">
        <v>103</v>
      </c>
      <c r="D11" s="26" t="n">
        <v>3</v>
      </c>
      <c r="E11" s="27" t="n">
        <v>220</v>
      </c>
      <c r="F11" s="27" t="n">
        <v>0</v>
      </c>
      <c r="G11" s="27" t="n">
        <v>300</v>
      </c>
      <c r="H11" s="28" t="n">
        <f aca="false">D11*E11+F11</f>
        <v>660</v>
      </c>
      <c r="I11" s="28" t="n">
        <f aca="false">D11*G11</f>
        <v>900</v>
      </c>
      <c r="J11" s="28" t="n">
        <f aca="false">I11-H11</f>
        <v>240</v>
      </c>
      <c r="K11" s="29" t="n">
        <f aca="false">IF(I11=0,0,J11/I11)</f>
        <v>0.266666666666667</v>
      </c>
      <c r="L11" s="30"/>
    </row>
    <row r="12" customFormat="false" ht="15" hidden="false" customHeight="true" outlineLevel="0" collapsed="false">
      <c r="B12" s="25" t="s">
        <v>105</v>
      </c>
      <c r="C12" s="25" t="s">
        <v>106</v>
      </c>
      <c r="D12" s="26" t="n">
        <v>1</v>
      </c>
      <c r="E12" s="27" t="n">
        <v>5700</v>
      </c>
      <c r="F12" s="27" t="n">
        <v>1200</v>
      </c>
      <c r="G12" s="27" t="n">
        <v>9000</v>
      </c>
      <c r="H12" s="28" t="n">
        <f aca="false">D12*E12+F12</f>
        <v>6900</v>
      </c>
      <c r="I12" s="28" t="n">
        <f aca="false">D12*G12</f>
        <v>9000</v>
      </c>
      <c r="J12" s="28" t="n">
        <f aca="false">I12-H12</f>
        <v>2100</v>
      </c>
      <c r="K12" s="29" t="n">
        <f aca="false">IF(I12=0,0,J12/I12)</f>
        <v>0.233333333333333</v>
      </c>
      <c r="L12" s="30" t="s">
        <v>107</v>
      </c>
    </row>
    <row r="13" customFormat="false" ht="15" hidden="false" customHeight="true" outlineLevel="0" collapsed="false">
      <c r="B13" s="13" t="s">
        <v>66</v>
      </c>
      <c r="F13" s="14" t="n">
        <f aca="false">SUM(F5:F12)</f>
        <v>-1900</v>
      </c>
      <c r="H13" s="14" t="n">
        <f aca="false">SUM(H5:H12)</f>
        <v>21592</v>
      </c>
      <c r="I13" s="14" t="n">
        <f aca="false">SUM(I5:I12)</f>
        <v>43460</v>
      </c>
      <c r="J13" s="14" t="n">
        <f aca="false">SUM(J5:J12)</f>
        <v>21868</v>
      </c>
      <c r="K13" s="31" t="n">
        <f aca="false">IF(I13=0,0,J13/I13)</f>
        <v>0.503175333640129</v>
      </c>
    </row>
    <row r="16" customFormat="false" ht="15" hidden="false" customHeight="true" outlineLevel="0" collapsed="false">
      <c r="B16" s="32" t="s">
        <v>108</v>
      </c>
    </row>
    <row r="17" customFormat="false" ht="15" hidden="false" customHeight="true" outlineLevel="0" collapsed="false">
      <c r="B17" s="3" t="s">
        <v>109</v>
      </c>
      <c r="H17" s="33" t="n">
        <f aca="false">Scope!D7</f>
        <v>19911.185</v>
      </c>
    </row>
    <row r="18" customFormat="false" ht="15" hidden="false" customHeight="true" outlineLevel="0" collapsed="false">
      <c r="B18" s="3" t="s">
        <v>110</v>
      </c>
      <c r="H18" s="11" t="n">
        <f aca="false">H13</f>
        <v>21592</v>
      </c>
    </row>
    <row r="19" customFormat="false" ht="15" hidden="false" customHeight="true" outlineLevel="0" collapsed="false">
      <c r="B19" s="13" t="s">
        <v>66</v>
      </c>
      <c r="H19" s="14" t="n">
        <f aca="false">H17+H18</f>
        <v>41503.185</v>
      </c>
    </row>
    <row r="21" customFormat="false" ht="15" hidden="false" customHeight="true" outlineLevel="0" collapsed="false">
      <c r="B21" s="32" t="s">
        <v>111</v>
      </c>
    </row>
    <row r="22" customFormat="false" ht="15" hidden="false" customHeight="true" outlineLevel="0" collapsed="false">
      <c r="B22" s="3" t="s">
        <v>112</v>
      </c>
      <c r="H22" s="33" t="n">
        <f aca="false">Scope!D7-SUMIF(Components!$B$2:$B$158,"Offsets",Components!$J$2:$J$158)</f>
        <v>21561.185</v>
      </c>
    </row>
    <row r="23" customFormat="false" ht="15" hidden="false" customHeight="true" outlineLevel="0" collapsed="false">
      <c r="B23" s="3" t="s">
        <v>113</v>
      </c>
      <c r="H23" s="11" t="n">
        <f aca="false">I13</f>
        <v>43460</v>
      </c>
    </row>
    <row r="24" customFormat="false" ht="15" hidden="false" customHeight="true" outlineLevel="0" collapsed="false">
      <c r="B24" s="13" t="s">
        <v>111</v>
      </c>
      <c r="H24" s="14" t="n">
        <f aca="false">H22+H23</f>
        <v>65021.185</v>
      </c>
    </row>
    <row r="25" customFormat="false" ht="15" hidden="false" customHeight="true" outlineLevel="0" collapsed="false">
      <c r="B25" s="5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3" min="3" style="1" width="58"/>
    <col collapsed="false" customWidth="true" hidden="false" outlineLevel="0" max="4" min="4" style="1" width="2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52"/>
  </cols>
  <sheetData>
    <row r="1" customFormat="false" ht="17.25" hidden="false" customHeight="true" outlineLevel="0" collapsed="false">
      <c r="B1" s="2" t="s">
        <v>115</v>
      </c>
    </row>
    <row r="2" customFormat="false" ht="15" hidden="false" customHeight="true" outlineLevel="0" collapsed="false">
      <c r="B2" s="5" t="s">
        <v>116</v>
      </c>
    </row>
    <row r="4" customFormat="false" ht="15" hidden="false" customHeight="true" outlineLevel="0" collapsed="false">
      <c r="B4" s="32" t="s">
        <v>117</v>
      </c>
    </row>
    <row r="5" customFormat="false" ht="15" hidden="false" customHeight="true" outlineLevel="0" collapsed="false">
      <c r="B5" s="24" t="s">
        <v>118</v>
      </c>
      <c r="C5" s="24" t="s">
        <v>119</v>
      </c>
      <c r="D5" s="24" t="s">
        <v>120</v>
      </c>
    </row>
    <row r="6" customFormat="false" ht="39" hidden="false" customHeight="true" outlineLevel="0" collapsed="false">
      <c r="B6" s="25" t="n">
        <v>1</v>
      </c>
      <c r="C6" s="34" t="s">
        <v>121</v>
      </c>
      <c r="D6" s="35" t="n">
        <v>10500</v>
      </c>
    </row>
    <row r="7" customFormat="false" ht="15" hidden="false" customHeight="true" outlineLevel="0" collapsed="false">
      <c r="B7" s="25" t="n">
        <v>2</v>
      </c>
      <c r="C7" s="34" t="s">
        <v>122</v>
      </c>
      <c r="D7" s="35" t="n">
        <v>7600</v>
      </c>
    </row>
    <row r="8" customFormat="false" ht="15" hidden="false" customHeight="true" outlineLevel="0" collapsed="false">
      <c r="B8" s="25" t="n">
        <v>3</v>
      </c>
      <c r="C8" s="34" t="s">
        <v>92</v>
      </c>
      <c r="D8" s="35" t="n">
        <v>2500</v>
      </c>
    </row>
    <row r="9" customFormat="false" ht="15" hidden="false" customHeight="true" outlineLevel="0" collapsed="false">
      <c r="B9" s="25" t="n">
        <v>4</v>
      </c>
      <c r="C9" s="34" t="s">
        <v>123</v>
      </c>
      <c r="D9" s="35" t="n">
        <v>500</v>
      </c>
    </row>
    <row r="10" customFormat="false" ht="15" hidden="false" customHeight="true" outlineLevel="0" collapsed="false">
      <c r="B10" s="25" t="n">
        <v>5</v>
      </c>
      <c r="C10" s="34" t="s">
        <v>124</v>
      </c>
      <c r="D10" s="35" t="n">
        <v>1550</v>
      </c>
    </row>
    <row r="11" customFormat="false" ht="15" hidden="false" customHeight="true" outlineLevel="0" collapsed="false">
      <c r="B11" s="25" t="n">
        <v>6</v>
      </c>
      <c r="C11" s="34" t="s">
        <v>125</v>
      </c>
      <c r="D11" s="35" t="n">
        <v>2490</v>
      </c>
    </row>
    <row r="12" customFormat="false" ht="15" hidden="false" customHeight="true" outlineLevel="0" collapsed="false">
      <c r="B12" s="25" t="n">
        <v>7</v>
      </c>
      <c r="C12" s="34" t="s">
        <v>126</v>
      </c>
      <c r="D12" s="35" t="n">
        <v>6200</v>
      </c>
    </row>
    <row r="13" customFormat="false" ht="26.25" hidden="false" customHeight="true" outlineLevel="0" collapsed="false">
      <c r="B13" s="25" t="n">
        <v>8</v>
      </c>
      <c r="C13" s="34" t="s">
        <v>127</v>
      </c>
      <c r="D13" s="35" t="n">
        <v>6200</v>
      </c>
    </row>
    <row r="14" customFormat="false" ht="26.25" hidden="false" customHeight="true" outlineLevel="0" collapsed="false">
      <c r="B14" s="25" t="n">
        <v>9</v>
      </c>
      <c r="C14" s="34" t="s">
        <v>128</v>
      </c>
      <c r="D14" s="35" t="n">
        <v>11300</v>
      </c>
    </row>
    <row r="15" customFormat="false" ht="15" hidden="false" customHeight="true" outlineLevel="0" collapsed="false">
      <c r="B15" s="25" t="n">
        <v>10</v>
      </c>
      <c r="C15" s="34" t="s">
        <v>129</v>
      </c>
      <c r="D15" s="35" t="n">
        <v>60</v>
      </c>
    </row>
    <row r="16" customFormat="false" ht="15" hidden="false" customHeight="true" outlineLevel="0" collapsed="false">
      <c r="C16" s="13" t="s">
        <v>130</v>
      </c>
      <c r="D16" s="14" t="n">
        <f aca="false">SUM(D6:D15)</f>
        <v>48900</v>
      </c>
    </row>
    <row r="18" customFormat="false" ht="15" hidden="false" customHeight="true" outlineLevel="0" collapsed="false">
      <c r="B18" s="32" t="s">
        <v>131</v>
      </c>
    </row>
    <row r="19" customFormat="false" ht="26.25" hidden="false" customHeight="true" outlineLevel="0" collapsed="false">
      <c r="B19" s="24" t="s">
        <v>118</v>
      </c>
      <c r="C19" s="24" t="s">
        <v>132</v>
      </c>
      <c r="D19" s="24" t="s">
        <v>133</v>
      </c>
      <c r="E19" s="24" t="s">
        <v>134</v>
      </c>
      <c r="F19" s="24" t="s">
        <v>135</v>
      </c>
      <c r="G19" s="24" t="s">
        <v>88</v>
      </c>
    </row>
    <row r="20" customFormat="false" ht="15" hidden="false" customHeight="true" outlineLevel="0" collapsed="false">
      <c r="B20" s="25" t="n">
        <v>1</v>
      </c>
      <c r="C20" s="34" t="s">
        <v>136</v>
      </c>
      <c r="D20" s="25" t="s">
        <v>137</v>
      </c>
      <c r="E20" s="35" t="n">
        <v>3500</v>
      </c>
      <c r="F20" s="36"/>
      <c r="G20" s="30"/>
    </row>
    <row r="21" customFormat="false" ht="15" hidden="false" customHeight="true" outlineLevel="0" collapsed="false">
      <c r="B21" s="25" t="n">
        <v>1</v>
      </c>
      <c r="C21" s="34" t="s">
        <v>138</v>
      </c>
      <c r="D21" s="25" t="s">
        <v>137</v>
      </c>
      <c r="E21" s="35" t="n">
        <v>1200</v>
      </c>
      <c r="F21" s="36"/>
      <c r="G21" s="30"/>
    </row>
    <row r="22" customFormat="false" ht="15" hidden="false" customHeight="true" outlineLevel="0" collapsed="false">
      <c r="B22" s="25" t="n">
        <v>1</v>
      </c>
      <c r="C22" s="34" t="s">
        <v>139</v>
      </c>
      <c r="D22" s="25" t="s">
        <v>137</v>
      </c>
      <c r="E22" s="35" t="n">
        <v>7900</v>
      </c>
      <c r="F22" s="36"/>
      <c r="G22" s="30"/>
    </row>
    <row r="23" customFormat="false" ht="15" hidden="false" customHeight="true" outlineLevel="0" collapsed="false">
      <c r="B23" s="25" t="n">
        <v>1</v>
      </c>
      <c r="C23" s="34" t="s">
        <v>99</v>
      </c>
      <c r="D23" s="25" t="s">
        <v>140</v>
      </c>
      <c r="E23" s="36"/>
      <c r="F23" s="37" t="n">
        <f aca="false">'PC parts'!G9</f>
        <v>1900</v>
      </c>
      <c r="G23" s="30"/>
    </row>
    <row r="24" customFormat="false" ht="15" hidden="false" customHeight="true" outlineLevel="0" collapsed="false">
      <c r="B24" s="25" t="n">
        <v>1</v>
      </c>
      <c r="C24" s="34" t="s">
        <v>141</v>
      </c>
      <c r="D24" s="25" t="s">
        <v>142</v>
      </c>
      <c r="E24" s="36"/>
      <c r="F24" s="36"/>
      <c r="G24" s="30" t="s">
        <v>143</v>
      </c>
    </row>
    <row r="25" customFormat="false" ht="15" hidden="false" customHeight="true" outlineLevel="0" collapsed="false">
      <c r="B25" s="25" t="n">
        <v>1</v>
      </c>
      <c r="C25" s="34" t="s">
        <v>144</v>
      </c>
      <c r="D25" s="25" t="s">
        <v>142</v>
      </c>
      <c r="E25" s="36"/>
      <c r="F25" s="36"/>
      <c r="G25" s="30" t="s">
        <v>143</v>
      </c>
    </row>
    <row r="26" customFormat="false" ht="15" hidden="false" customHeight="true" outlineLevel="0" collapsed="false">
      <c r="B26" s="25" t="n">
        <v>1</v>
      </c>
      <c r="C26" s="34" t="s">
        <v>145</v>
      </c>
      <c r="D26" s="25" t="s">
        <v>146</v>
      </c>
      <c r="E26" s="36"/>
      <c r="F26" s="36"/>
      <c r="G26" s="30" t="s">
        <v>147</v>
      </c>
    </row>
    <row r="27" customFormat="false" ht="15" hidden="false" customHeight="true" outlineLevel="0" collapsed="false">
      <c r="B27" s="25" t="n">
        <v>2</v>
      </c>
      <c r="C27" s="34" t="s">
        <v>148</v>
      </c>
      <c r="D27" s="25" t="s">
        <v>146</v>
      </c>
      <c r="E27" s="36"/>
      <c r="F27" s="36"/>
      <c r="G27" s="30" t="s">
        <v>147</v>
      </c>
    </row>
    <row r="28" customFormat="false" ht="15" hidden="false" customHeight="true" outlineLevel="0" collapsed="false">
      <c r="B28" s="25" t="n">
        <v>3</v>
      </c>
      <c r="C28" s="34" t="s">
        <v>92</v>
      </c>
      <c r="D28" s="25" t="s">
        <v>140</v>
      </c>
      <c r="E28" s="36"/>
      <c r="F28" s="37" t="n">
        <f aca="false">'PC parts'!G6</f>
        <v>5500</v>
      </c>
      <c r="G28" s="30"/>
    </row>
    <row r="29" customFormat="false" ht="15" hidden="false" customHeight="true" outlineLevel="0" collapsed="false">
      <c r="B29" s="25" t="n">
        <v>4</v>
      </c>
      <c r="C29" s="34" t="s">
        <v>123</v>
      </c>
      <c r="D29" s="25" t="s">
        <v>146</v>
      </c>
      <c r="E29" s="36"/>
      <c r="F29" s="36"/>
      <c r="G29" s="30" t="s">
        <v>147</v>
      </c>
    </row>
    <row r="30" customFormat="false" ht="15" hidden="false" customHeight="true" outlineLevel="0" collapsed="false">
      <c r="B30" s="25" t="n">
        <v>5</v>
      </c>
      <c r="C30" s="34" t="s">
        <v>124</v>
      </c>
      <c r="D30" s="25" t="s">
        <v>146</v>
      </c>
      <c r="E30" s="36"/>
      <c r="F30" s="36"/>
      <c r="G30" s="30" t="s">
        <v>149</v>
      </c>
    </row>
    <row r="31" customFormat="false" ht="15" hidden="false" customHeight="true" outlineLevel="0" collapsed="false">
      <c r="B31" s="25" t="n">
        <v>6</v>
      </c>
      <c r="C31" s="34" t="s">
        <v>150</v>
      </c>
      <c r="D31" s="25" t="s">
        <v>140</v>
      </c>
      <c r="E31" s="36"/>
      <c r="F31" s="37" t="n">
        <f aca="false">'PC parts'!G8</f>
        <v>4400</v>
      </c>
      <c r="G31" s="30"/>
    </row>
    <row r="32" customFormat="false" ht="15" hidden="false" customHeight="true" outlineLevel="0" collapsed="false">
      <c r="B32" s="25" t="n">
        <v>7</v>
      </c>
      <c r="C32" s="34" t="s">
        <v>126</v>
      </c>
      <c r="D32" s="25" t="s">
        <v>137</v>
      </c>
      <c r="E32" s="38" t="n">
        <v>5000</v>
      </c>
      <c r="F32" s="36"/>
      <c r="G32" s="30" t="s">
        <v>151</v>
      </c>
    </row>
    <row r="33" customFormat="false" ht="15" hidden="false" customHeight="true" outlineLevel="0" collapsed="false">
      <c r="B33" s="25" t="n">
        <v>8</v>
      </c>
      <c r="C33" s="34" t="s">
        <v>105</v>
      </c>
      <c r="D33" s="25" t="s">
        <v>140</v>
      </c>
      <c r="E33" s="36"/>
      <c r="F33" s="37" t="n">
        <f aca="false">'PC parts'!G12</f>
        <v>9000</v>
      </c>
      <c r="G33" s="30"/>
    </row>
    <row r="34" customFormat="false" ht="15" hidden="false" customHeight="true" outlineLevel="0" collapsed="false">
      <c r="B34" s="25" t="n">
        <v>8</v>
      </c>
      <c r="C34" s="34" t="s">
        <v>152</v>
      </c>
      <c r="D34" s="25" t="s">
        <v>153</v>
      </c>
      <c r="E34" s="36"/>
      <c r="F34" s="36"/>
      <c r="G34" s="30" t="s">
        <v>154</v>
      </c>
    </row>
    <row r="35" customFormat="false" ht="15" hidden="false" customHeight="true" outlineLevel="0" collapsed="false">
      <c r="B35" s="25" t="n">
        <v>9</v>
      </c>
      <c r="C35" s="34" t="s">
        <v>155</v>
      </c>
      <c r="D35" s="25" t="s">
        <v>146</v>
      </c>
      <c r="E35" s="36"/>
      <c r="F35" s="36"/>
      <c r="G35" s="30" t="s">
        <v>147</v>
      </c>
    </row>
    <row r="36" customFormat="false" ht="15" hidden="false" customHeight="true" outlineLevel="0" collapsed="false">
      <c r="B36" s="25" t="n">
        <v>9</v>
      </c>
      <c r="C36" s="34" t="s">
        <v>156</v>
      </c>
      <c r="D36" s="25" t="s">
        <v>137</v>
      </c>
      <c r="E36" s="35" t="n">
        <v>1350</v>
      </c>
      <c r="F36" s="36"/>
      <c r="G36" s="30"/>
    </row>
    <row r="37" customFormat="false" ht="15" hidden="false" customHeight="true" outlineLevel="0" collapsed="false">
      <c r="B37" s="25" t="n">
        <v>9</v>
      </c>
      <c r="C37" s="34" t="s">
        <v>157</v>
      </c>
      <c r="D37" s="25" t="s">
        <v>140</v>
      </c>
      <c r="E37" s="36"/>
      <c r="F37" s="37" t="n">
        <f aca="false">'PC parts'!G7</f>
        <v>16800</v>
      </c>
      <c r="G37" s="30"/>
    </row>
    <row r="38" customFormat="false" ht="15" hidden="false" customHeight="true" outlineLevel="0" collapsed="false">
      <c r="B38" s="25" t="n">
        <v>9</v>
      </c>
      <c r="C38" s="34" t="s">
        <v>158</v>
      </c>
      <c r="D38" s="25" t="s">
        <v>137</v>
      </c>
      <c r="E38" s="35" t="n">
        <v>350</v>
      </c>
      <c r="F38" s="36"/>
      <c r="G38" s="30"/>
    </row>
    <row r="39" customFormat="false" ht="15" hidden="false" customHeight="true" outlineLevel="0" collapsed="false">
      <c r="B39" s="25" t="n">
        <v>10</v>
      </c>
      <c r="C39" s="34" t="s">
        <v>129</v>
      </c>
      <c r="D39" s="25" t="s">
        <v>137</v>
      </c>
      <c r="E39" s="35" t="n">
        <v>150</v>
      </c>
      <c r="F39" s="36"/>
      <c r="G39" s="30" t="s">
        <v>159</v>
      </c>
    </row>
    <row r="40" customFormat="false" ht="26.25" hidden="false" customHeight="true" outlineLevel="0" collapsed="false">
      <c r="B40" s="25" t="s">
        <v>160</v>
      </c>
      <c r="C40" s="34" t="s">
        <v>161</v>
      </c>
      <c r="D40" s="25" t="s">
        <v>162</v>
      </c>
      <c r="E40" s="35" t="n">
        <v>12490</v>
      </c>
      <c r="F40" s="36"/>
      <c r="G40" s="30"/>
    </row>
    <row r="41" customFormat="false" ht="15" hidden="false" customHeight="true" outlineLevel="0" collapsed="false">
      <c r="C41" s="13" t="s">
        <v>66</v>
      </c>
      <c r="E41" s="14" t="n">
        <f aca="false">SUM(E20:E40)</f>
        <v>31940</v>
      </c>
      <c r="F41" s="14" t="n">
        <f aca="false">SUM(F20:F40)</f>
        <v>37600</v>
      </c>
    </row>
    <row r="43" customFormat="false" ht="15" hidden="false" customHeight="true" outlineLevel="0" collapsed="false">
      <c r="B43" s="32" t="s">
        <v>163</v>
      </c>
    </row>
    <row r="44" customFormat="false" ht="15" hidden="false" customHeight="true" outlineLevel="0" collapsed="false">
      <c r="C44" s="39" t="s">
        <v>130</v>
      </c>
      <c r="D44" s="40" t="n">
        <f aca="false">D16</f>
        <v>48900</v>
      </c>
    </row>
    <row r="45" customFormat="false" ht="15" hidden="false" customHeight="true" outlineLevel="0" collapsed="false">
      <c r="C45" s="39" t="s">
        <v>164</v>
      </c>
      <c r="D45" s="40" t="n">
        <f aca="false">E41</f>
        <v>31940</v>
      </c>
    </row>
    <row r="46" customFormat="false" ht="15" hidden="false" customHeight="true" outlineLevel="0" collapsed="false">
      <c r="C46" s="13" t="s">
        <v>165</v>
      </c>
      <c r="D46" s="41" t="n">
        <f aca="false">D44-D45</f>
        <v>16960</v>
      </c>
    </row>
    <row r="47" customFormat="false" ht="15" hidden="false" customHeight="true" outlineLevel="0" collapsed="false">
      <c r="C47" s="39" t="s">
        <v>166</v>
      </c>
      <c r="D47" s="40" t="n">
        <f aca="false">F41</f>
        <v>37600</v>
      </c>
    </row>
    <row r="48" customFormat="false" ht="15" hidden="false" customHeight="true" outlineLevel="0" collapsed="false">
      <c r="C48" s="13" t="s">
        <v>167</v>
      </c>
      <c r="D48" s="41" t="n">
        <f aca="false">D47-D46</f>
        <v>20640</v>
      </c>
    </row>
    <row r="49" customFormat="false" ht="39" hidden="false" customHeight="true" outlineLevel="0" collapsed="false">
      <c r="C49" s="42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46"/>
    <col collapsed="false" customWidth="true" hidden="false" outlineLevel="0" max="5" min="5" style="1" width="30"/>
    <col collapsed="false" customWidth="true" hidden="false" outlineLevel="0" max="6" min="6" style="1" width="6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7"/>
    <col collapsed="false" customWidth="true" hidden="false" outlineLevel="0" max="12" min="12" style="1" width="40"/>
    <col collapsed="false" customWidth="true" hidden="false" outlineLevel="0" max="13" min="13" style="1" width="20"/>
  </cols>
  <sheetData>
    <row r="1" customFormat="false" ht="30" hidden="false" customHeight="true" outlineLevel="0" collapsed="false">
      <c r="A1" s="24" t="s">
        <v>169</v>
      </c>
      <c r="B1" s="24" t="s">
        <v>3</v>
      </c>
      <c r="C1" s="24" t="s">
        <v>4</v>
      </c>
      <c r="D1" s="24" t="s">
        <v>78</v>
      </c>
      <c r="E1" s="24" t="s">
        <v>170</v>
      </c>
      <c r="F1" s="24" t="s">
        <v>80</v>
      </c>
      <c r="G1" s="24" t="s">
        <v>55</v>
      </c>
      <c r="H1" s="24" t="s">
        <v>120</v>
      </c>
      <c r="I1" s="24" t="s">
        <v>171</v>
      </c>
      <c r="J1" s="24" t="s">
        <v>172</v>
      </c>
      <c r="K1" s="24" t="s">
        <v>173</v>
      </c>
      <c r="L1" s="24" t="s">
        <v>88</v>
      </c>
      <c r="M1" s="24" t="s">
        <v>69</v>
      </c>
    </row>
    <row r="2" customFormat="false" ht="15" hidden="false" customHeight="true" outlineLevel="0" collapsed="false">
      <c r="A2" s="25" t="n">
        <v>1</v>
      </c>
      <c r="B2" s="25" t="s">
        <v>7</v>
      </c>
      <c r="C2" s="25" t="s">
        <v>8</v>
      </c>
      <c r="D2" s="25" t="s">
        <v>174</v>
      </c>
      <c r="E2" s="25" t="s">
        <v>175</v>
      </c>
      <c r="F2" s="25" t="n">
        <v>1</v>
      </c>
      <c r="G2" s="25" t="s">
        <v>56</v>
      </c>
      <c r="H2" s="43" t="n">
        <v>929.52</v>
      </c>
      <c r="I2" s="25" t="s">
        <v>5</v>
      </c>
      <c r="J2" s="44" t="n">
        <f aca="false">IF(I2="EUR",H2*Summary!$C$3,H2)</f>
        <v>929.52</v>
      </c>
      <c r="K2" s="25" t="s">
        <v>176</v>
      </c>
      <c r="L2" s="25"/>
      <c r="M2" s="26" t="s">
        <v>70</v>
      </c>
    </row>
    <row r="3" customFormat="false" ht="15" hidden="false" customHeight="true" outlineLevel="0" collapsed="false">
      <c r="A3" s="25" t="n">
        <v>2</v>
      </c>
      <c r="B3" s="25" t="s">
        <v>7</v>
      </c>
      <c r="C3" s="25" t="s">
        <v>8</v>
      </c>
      <c r="D3" s="25" t="s">
        <v>177</v>
      </c>
      <c r="E3" s="25" t="s">
        <v>178</v>
      </c>
      <c r="F3" s="25" t="n">
        <v>1</v>
      </c>
      <c r="G3" s="25" t="s">
        <v>57</v>
      </c>
      <c r="H3" s="43" t="n">
        <v>650</v>
      </c>
      <c r="I3" s="25" t="s">
        <v>5</v>
      </c>
      <c r="J3" s="44" t="n">
        <f aca="false">IF(I3="EUR",H3*Summary!$C$3,H3)</f>
        <v>650</v>
      </c>
      <c r="K3" s="25" t="s">
        <v>179</v>
      </c>
      <c r="L3" s="25" t="s">
        <v>180</v>
      </c>
      <c r="M3" s="26" t="s">
        <v>71</v>
      </c>
    </row>
    <row r="4" customFormat="false" ht="15" hidden="false" customHeight="true" outlineLevel="0" collapsed="false">
      <c r="A4" s="25" t="n">
        <v>3</v>
      </c>
      <c r="B4" s="25" t="s">
        <v>7</v>
      </c>
      <c r="C4" s="25" t="s">
        <v>9</v>
      </c>
      <c r="D4" s="25" t="s">
        <v>181</v>
      </c>
      <c r="E4" s="25" t="s">
        <v>182</v>
      </c>
      <c r="F4" s="25" t="n">
        <v>1</v>
      </c>
      <c r="G4" s="25" t="s">
        <v>58</v>
      </c>
      <c r="H4" s="43" t="n">
        <v>1005.65</v>
      </c>
      <c r="I4" s="25" t="s">
        <v>5</v>
      </c>
      <c r="J4" s="44" t="n">
        <f aca="false">IF(I4="EUR",H4*Summary!$C$3,H4)</f>
        <v>1005.65</v>
      </c>
      <c r="K4" s="25" t="s">
        <v>183</v>
      </c>
      <c r="L4" s="25" t="s">
        <v>184</v>
      </c>
      <c r="M4" s="26" t="s">
        <v>70</v>
      </c>
    </row>
    <row r="5" customFormat="false" ht="15" hidden="false" customHeight="true" outlineLevel="0" collapsed="false">
      <c r="A5" s="25" t="n">
        <v>4</v>
      </c>
      <c r="B5" s="25" t="s">
        <v>7</v>
      </c>
      <c r="C5" s="25" t="s">
        <v>9</v>
      </c>
      <c r="D5" s="25" t="s">
        <v>185</v>
      </c>
      <c r="E5" s="25" t="s">
        <v>186</v>
      </c>
      <c r="F5" s="25" t="n">
        <v>1</v>
      </c>
      <c r="G5" s="25" t="s">
        <v>57</v>
      </c>
      <c r="H5" s="43" t="n">
        <v>450</v>
      </c>
      <c r="I5" s="25" t="s">
        <v>5</v>
      </c>
      <c r="J5" s="44" t="n">
        <f aca="false">IF(I5="EUR",H5*Summary!$C$3,H5)</f>
        <v>450</v>
      </c>
      <c r="K5" s="25" t="s">
        <v>179</v>
      </c>
      <c r="L5" s="25" t="s">
        <v>180</v>
      </c>
      <c r="M5" s="26" t="s">
        <v>71</v>
      </c>
    </row>
    <row r="6" customFormat="false" ht="15" hidden="false" customHeight="true" outlineLevel="0" collapsed="false">
      <c r="A6" s="25" t="n">
        <v>5</v>
      </c>
      <c r="B6" s="25" t="s">
        <v>7</v>
      </c>
      <c r="C6" s="25" t="s">
        <v>9</v>
      </c>
      <c r="D6" s="25" t="s">
        <v>187</v>
      </c>
      <c r="E6" s="25" t="s">
        <v>188</v>
      </c>
      <c r="F6" s="25" t="n">
        <v>1</v>
      </c>
      <c r="G6" s="25" t="s">
        <v>57</v>
      </c>
      <c r="H6" s="43" t="n">
        <v>200</v>
      </c>
      <c r="I6" s="25" t="s">
        <v>5</v>
      </c>
      <c r="J6" s="44" t="n">
        <f aca="false">IF(I6="EUR",H6*Summary!$C$3,H6)</f>
        <v>200</v>
      </c>
      <c r="K6" s="25" t="s">
        <v>179</v>
      </c>
      <c r="L6" s="25" t="s">
        <v>180</v>
      </c>
      <c r="M6" s="26" t="s">
        <v>70</v>
      </c>
    </row>
    <row r="7" customFormat="false" ht="15" hidden="false" customHeight="true" outlineLevel="0" collapsed="false">
      <c r="A7" s="25" t="n">
        <v>6</v>
      </c>
      <c r="B7" s="25" t="s">
        <v>7</v>
      </c>
      <c r="C7" s="25" t="s">
        <v>10</v>
      </c>
      <c r="D7" s="25" t="s">
        <v>189</v>
      </c>
      <c r="E7" s="25" t="s">
        <v>190</v>
      </c>
      <c r="F7" s="25" t="n">
        <v>1</v>
      </c>
      <c r="G7" s="25" t="s">
        <v>58</v>
      </c>
      <c r="H7" s="43" t="n">
        <v>1676.19</v>
      </c>
      <c r="I7" s="25" t="s">
        <v>5</v>
      </c>
      <c r="J7" s="44" t="n">
        <f aca="false">IF(I7="EUR",H7*Summary!$C$3,H7)</f>
        <v>1676.19</v>
      </c>
      <c r="K7" s="25" t="s">
        <v>183</v>
      </c>
      <c r="L7" s="25" t="s">
        <v>191</v>
      </c>
      <c r="M7" s="26" t="s">
        <v>70</v>
      </c>
    </row>
    <row r="8" customFormat="false" ht="15" hidden="false" customHeight="true" outlineLevel="0" collapsed="false">
      <c r="A8" s="25" t="n">
        <v>7</v>
      </c>
      <c r="B8" s="25" t="s">
        <v>7</v>
      </c>
      <c r="C8" s="25" t="s">
        <v>10</v>
      </c>
      <c r="D8" s="25" t="s">
        <v>192</v>
      </c>
      <c r="E8" s="25" t="s">
        <v>193</v>
      </c>
      <c r="F8" s="25" t="n">
        <v>1</v>
      </c>
      <c r="G8" s="25" t="s">
        <v>56</v>
      </c>
      <c r="H8" s="43" t="n">
        <v>506.25</v>
      </c>
      <c r="I8" s="25" t="s">
        <v>5</v>
      </c>
      <c r="J8" s="44" t="n">
        <f aca="false">IF(I8="EUR",H8*Summary!$C$3,H8)</f>
        <v>506.25</v>
      </c>
      <c r="K8" s="25" t="s">
        <v>176</v>
      </c>
      <c r="L8" s="25"/>
      <c r="M8" s="26" t="s">
        <v>70</v>
      </c>
    </row>
    <row r="9" customFormat="false" ht="15" hidden="false" customHeight="true" outlineLevel="0" collapsed="false">
      <c r="A9" s="25" t="n">
        <v>8</v>
      </c>
      <c r="B9" s="25" t="s">
        <v>7</v>
      </c>
      <c r="C9" s="25" t="s">
        <v>10</v>
      </c>
      <c r="D9" s="25" t="s">
        <v>194</v>
      </c>
      <c r="E9" s="25" t="s">
        <v>195</v>
      </c>
      <c r="F9" s="25" t="n">
        <v>1</v>
      </c>
      <c r="G9" s="25" t="s">
        <v>56</v>
      </c>
      <c r="H9" s="43" t="n">
        <v>226.32</v>
      </c>
      <c r="I9" s="25" t="s">
        <v>5</v>
      </c>
      <c r="J9" s="44" t="n">
        <f aca="false">IF(I9="EUR",H9*Summary!$C$3,H9)</f>
        <v>226.32</v>
      </c>
      <c r="K9" s="25" t="s">
        <v>176</v>
      </c>
      <c r="L9" s="25"/>
      <c r="M9" s="26" t="s">
        <v>70</v>
      </c>
    </row>
    <row r="10" customFormat="false" ht="15" hidden="false" customHeight="true" outlineLevel="0" collapsed="false">
      <c r="A10" s="25" t="n">
        <v>9</v>
      </c>
      <c r="B10" s="25" t="s">
        <v>7</v>
      </c>
      <c r="C10" s="25" t="s">
        <v>11</v>
      </c>
      <c r="D10" s="25" t="s">
        <v>196</v>
      </c>
      <c r="E10" s="25" t="s">
        <v>197</v>
      </c>
      <c r="F10" s="25" t="n">
        <v>1</v>
      </c>
      <c r="G10" s="25" t="s">
        <v>56</v>
      </c>
      <c r="H10" s="43" t="n">
        <v>586.92</v>
      </c>
      <c r="I10" s="25" t="s">
        <v>5</v>
      </c>
      <c r="J10" s="44" t="n">
        <f aca="false">IF(I10="EUR",H10*Summary!$C$3,H10)</f>
        <v>586.92</v>
      </c>
      <c r="K10" s="25" t="s">
        <v>198</v>
      </c>
      <c r="L10" s="25"/>
      <c r="M10" s="26" t="s">
        <v>71</v>
      </c>
    </row>
    <row r="11" customFormat="false" ht="15" hidden="false" customHeight="true" outlineLevel="0" collapsed="false">
      <c r="A11" s="25" t="n">
        <v>10</v>
      </c>
      <c r="B11" s="25" t="s">
        <v>7</v>
      </c>
      <c r="C11" s="25" t="s">
        <v>11</v>
      </c>
      <c r="D11" s="25" t="s">
        <v>199</v>
      </c>
      <c r="E11" s="25" t="s">
        <v>200</v>
      </c>
      <c r="F11" s="25" t="n">
        <v>1</v>
      </c>
      <c r="G11" s="25" t="s">
        <v>56</v>
      </c>
      <c r="H11" s="43" t="n">
        <v>303.19</v>
      </c>
      <c r="I11" s="25" t="s">
        <v>5</v>
      </c>
      <c r="J11" s="44" t="n">
        <f aca="false">IF(I11="EUR",H11*Summary!$C$3,H11)</f>
        <v>303.19</v>
      </c>
      <c r="K11" s="25" t="s">
        <v>176</v>
      </c>
      <c r="L11" s="25"/>
      <c r="M11" s="26" t="s">
        <v>71</v>
      </c>
    </row>
    <row r="12" customFormat="false" ht="15" hidden="false" customHeight="true" outlineLevel="0" collapsed="false">
      <c r="A12" s="25" t="n">
        <v>11</v>
      </c>
      <c r="B12" s="25" t="s">
        <v>7</v>
      </c>
      <c r="C12" s="25" t="s">
        <v>11</v>
      </c>
      <c r="D12" s="25" t="s">
        <v>199</v>
      </c>
      <c r="E12" s="25" t="s">
        <v>201</v>
      </c>
      <c r="F12" s="25" t="n">
        <v>1</v>
      </c>
      <c r="G12" s="25" t="s">
        <v>56</v>
      </c>
      <c r="H12" s="43" t="n">
        <v>18.11</v>
      </c>
      <c r="I12" s="25" t="s">
        <v>202</v>
      </c>
      <c r="J12" s="44" t="n">
        <f aca="false">IF(I12="EUR",H12*Summary!$C$3,H12)</f>
        <v>199.21</v>
      </c>
      <c r="K12" s="25" t="s">
        <v>176</v>
      </c>
      <c r="L12" s="25"/>
      <c r="M12" s="26" t="s">
        <v>71</v>
      </c>
    </row>
    <row r="13" customFormat="false" ht="15" hidden="false" customHeight="true" outlineLevel="0" collapsed="false">
      <c r="A13" s="25" t="n">
        <v>12</v>
      </c>
      <c r="B13" s="25" t="s">
        <v>7</v>
      </c>
      <c r="C13" s="25" t="s">
        <v>11</v>
      </c>
      <c r="D13" s="25" t="s">
        <v>203</v>
      </c>
      <c r="E13" s="25" t="s">
        <v>193</v>
      </c>
      <c r="F13" s="25" t="n">
        <v>1</v>
      </c>
      <c r="G13" s="25" t="s">
        <v>56</v>
      </c>
      <c r="H13" s="43" t="n">
        <v>100.31</v>
      </c>
      <c r="I13" s="25" t="s">
        <v>5</v>
      </c>
      <c r="J13" s="44" t="n">
        <f aca="false">IF(I13="EUR",H13*Summary!$C$3,H13)</f>
        <v>100.31</v>
      </c>
      <c r="K13" s="25" t="s">
        <v>198</v>
      </c>
      <c r="L13" s="25"/>
      <c r="M13" s="26" t="s">
        <v>70</v>
      </c>
    </row>
    <row r="14" customFormat="false" ht="15" hidden="false" customHeight="true" outlineLevel="0" collapsed="false">
      <c r="A14" s="25" t="n">
        <v>13</v>
      </c>
      <c r="B14" s="25" t="s">
        <v>7</v>
      </c>
      <c r="C14" s="25" t="s">
        <v>11</v>
      </c>
      <c r="D14" s="25" t="s">
        <v>204</v>
      </c>
      <c r="E14" s="25" t="s">
        <v>205</v>
      </c>
      <c r="F14" s="25" t="n">
        <v>2</v>
      </c>
      <c r="G14" s="25" t="s">
        <v>59</v>
      </c>
      <c r="H14" s="43" t="n">
        <v>31.9</v>
      </c>
      <c r="I14" s="25" t="s">
        <v>202</v>
      </c>
      <c r="J14" s="44" t="n">
        <f aca="false">IF(I14="EUR",H14*Summary!$C$3,H14)</f>
        <v>350.9</v>
      </c>
      <c r="K14" s="25" t="s">
        <v>183</v>
      </c>
      <c r="L14" s="25"/>
      <c r="M14" s="26" t="s">
        <v>71</v>
      </c>
    </row>
    <row r="15" customFormat="false" ht="15" hidden="false" customHeight="true" outlineLevel="0" collapsed="false">
      <c r="A15" s="25" t="n">
        <v>14</v>
      </c>
      <c r="B15" s="25" t="s">
        <v>7</v>
      </c>
      <c r="C15" s="25" t="s">
        <v>11</v>
      </c>
      <c r="D15" s="25" t="s">
        <v>206</v>
      </c>
      <c r="E15" s="25" t="s">
        <v>205</v>
      </c>
      <c r="F15" s="25" t="n">
        <v>2</v>
      </c>
      <c r="G15" s="25" t="s">
        <v>59</v>
      </c>
      <c r="H15" s="43" t="n">
        <v>28.54</v>
      </c>
      <c r="I15" s="25" t="s">
        <v>202</v>
      </c>
      <c r="J15" s="44" t="n">
        <f aca="false">IF(I15="EUR",H15*Summary!$C$3,H15)</f>
        <v>313.94</v>
      </c>
      <c r="K15" s="25" t="s">
        <v>183</v>
      </c>
      <c r="L15" s="25"/>
      <c r="M15" s="26" t="s">
        <v>71</v>
      </c>
    </row>
    <row r="16" customFormat="false" ht="15" hidden="false" customHeight="true" outlineLevel="0" collapsed="false">
      <c r="A16" s="25" t="n">
        <v>15</v>
      </c>
      <c r="B16" s="25" t="s">
        <v>7</v>
      </c>
      <c r="C16" s="25" t="s">
        <v>12</v>
      </c>
      <c r="D16" s="25" t="s">
        <v>207</v>
      </c>
      <c r="E16" s="25" t="s">
        <v>208</v>
      </c>
      <c r="F16" s="25" t="n">
        <v>2</v>
      </c>
      <c r="G16" s="25" t="s">
        <v>56</v>
      </c>
      <c r="H16" s="43" t="n">
        <v>89.33</v>
      </c>
      <c r="I16" s="25" t="s">
        <v>5</v>
      </c>
      <c r="J16" s="44" t="n">
        <f aca="false">IF(I16="EUR",H16*Summary!$C$3,H16)</f>
        <v>89.33</v>
      </c>
      <c r="K16" s="25" t="s">
        <v>198</v>
      </c>
      <c r="L16" s="25"/>
      <c r="M16" s="26" t="s">
        <v>71</v>
      </c>
    </row>
    <row r="17" customFormat="false" ht="15" hidden="false" customHeight="true" outlineLevel="0" collapsed="false">
      <c r="A17" s="25" t="n">
        <v>16</v>
      </c>
      <c r="B17" s="25" t="s">
        <v>7</v>
      </c>
      <c r="C17" s="25" t="s">
        <v>12</v>
      </c>
      <c r="D17" s="25" t="s">
        <v>209</v>
      </c>
      <c r="E17" s="25" t="s">
        <v>210</v>
      </c>
      <c r="F17" s="25" t="n">
        <v>1</v>
      </c>
      <c r="G17" s="25" t="s">
        <v>56</v>
      </c>
      <c r="H17" s="43" t="n">
        <v>278.79</v>
      </c>
      <c r="I17" s="25" t="s">
        <v>5</v>
      </c>
      <c r="J17" s="44" t="n">
        <f aca="false">IF(I17="EUR",H17*Summary!$C$3,H17)</f>
        <v>278.79</v>
      </c>
      <c r="K17" s="25" t="s">
        <v>176</v>
      </c>
      <c r="L17" s="25"/>
      <c r="M17" s="26" t="s">
        <v>71</v>
      </c>
    </row>
    <row r="18" customFormat="false" ht="15" hidden="false" customHeight="true" outlineLevel="0" collapsed="false">
      <c r="A18" s="25" t="n">
        <v>17</v>
      </c>
      <c r="B18" s="25" t="s">
        <v>7</v>
      </c>
      <c r="C18" s="25" t="s">
        <v>12</v>
      </c>
      <c r="D18" s="25" t="s">
        <v>211</v>
      </c>
      <c r="E18" s="25" t="s">
        <v>193</v>
      </c>
      <c r="F18" s="25" t="n">
        <v>16</v>
      </c>
      <c r="G18" s="25" t="s">
        <v>58</v>
      </c>
      <c r="H18" s="43" t="n">
        <v>803.6</v>
      </c>
      <c r="I18" s="25" t="s">
        <v>5</v>
      </c>
      <c r="J18" s="44" t="n">
        <f aca="false">IF(I18="EUR",H18*Summary!$C$3,H18)</f>
        <v>803.6</v>
      </c>
      <c r="K18" s="25" t="s">
        <v>183</v>
      </c>
      <c r="L18" s="25" t="s">
        <v>184</v>
      </c>
      <c r="M18" s="26" t="s">
        <v>70</v>
      </c>
    </row>
    <row r="19" customFormat="false" ht="15" hidden="false" customHeight="true" outlineLevel="0" collapsed="false">
      <c r="A19" s="25" t="n">
        <v>18</v>
      </c>
      <c r="B19" s="25" t="s">
        <v>7</v>
      </c>
      <c r="C19" s="25" t="s">
        <v>12</v>
      </c>
      <c r="D19" s="25" t="s">
        <v>212</v>
      </c>
      <c r="E19" s="25" t="s">
        <v>205</v>
      </c>
      <c r="F19" s="25" t="n">
        <v>8</v>
      </c>
      <c r="G19" s="25" t="s">
        <v>59</v>
      </c>
      <c r="H19" s="43" t="n">
        <v>25.44</v>
      </c>
      <c r="I19" s="25" t="s">
        <v>202</v>
      </c>
      <c r="J19" s="44" t="n">
        <f aca="false">IF(I19="EUR",H19*Summary!$C$3,H19)</f>
        <v>279.84</v>
      </c>
      <c r="K19" s="25" t="s">
        <v>183</v>
      </c>
      <c r="L19" s="25"/>
      <c r="M19" s="26" t="s">
        <v>71</v>
      </c>
    </row>
    <row r="20" customFormat="false" ht="15" hidden="false" customHeight="true" outlineLevel="0" collapsed="false">
      <c r="A20" s="25" t="n">
        <v>19</v>
      </c>
      <c r="B20" s="25" t="s">
        <v>7</v>
      </c>
      <c r="C20" s="25" t="s">
        <v>12</v>
      </c>
      <c r="D20" s="25" t="s">
        <v>213</v>
      </c>
      <c r="E20" s="25" t="s">
        <v>193</v>
      </c>
      <c r="F20" s="25" t="n">
        <v>2</v>
      </c>
      <c r="G20" s="25" t="s">
        <v>56</v>
      </c>
      <c r="H20" s="43" t="n">
        <v>172.26</v>
      </c>
      <c r="I20" s="25" t="s">
        <v>5</v>
      </c>
      <c r="J20" s="44" t="n">
        <f aca="false">IF(I20="EUR",H20*Summary!$C$3,H20)</f>
        <v>172.26</v>
      </c>
      <c r="K20" s="25" t="s">
        <v>198</v>
      </c>
      <c r="L20" s="25"/>
      <c r="M20" s="26" t="s">
        <v>71</v>
      </c>
    </row>
    <row r="21" customFormat="false" ht="15" hidden="false" customHeight="true" outlineLevel="0" collapsed="false">
      <c r="A21" s="25" t="n">
        <v>20</v>
      </c>
      <c r="B21" s="25" t="s">
        <v>7</v>
      </c>
      <c r="C21" s="25" t="s">
        <v>12</v>
      </c>
      <c r="D21" s="25" t="s">
        <v>214</v>
      </c>
      <c r="E21" s="25" t="s">
        <v>193</v>
      </c>
      <c r="F21" s="25" t="n">
        <v>1</v>
      </c>
      <c r="G21" s="25" t="s">
        <v>56</v>
      </c>
      <c r="H21" s="43" t="n">
        <v>34.98</v>
      </c>
      <c r="I21" s="25" t="s">
        <v>5</v>
      </c>
      <c r="J21" s="44" t="n">
        <f aca="false">IF(I21="EUR",H21*Summary!$C$3,H21)</f>
        <v>34.98</v>
      </c>
      <c r="K21" s="25" t="s">
        <v>198</v>
      </c>
      <c r="L21" s="25"/>
      <c r="M21" s="26" t="s">
        <v>71</v>
      </c>
    </row>
    <row r="22" customFormat="false" ht="15" hidden="false" customHeight="true" outlineLevel="0" collapsed="false">
      <c r="A22" s="25" t="n">
        <v>21</v>
      </c>
      <c r="B22" s="25" t="s">
        <v>7</v>
      </c>
      <c r="C22" s="25" t="s">
        <v>12</v>
      </c>
      <c r="D22" s="25" t="s">
        <v>215</v>
      </c>
      <c r="E22" s="25" t="s">
        <v>193</v>
      </c>
      <c r="F22" s="25" t="n">
        <v>1</v>
      </c>
      <c r="G22" s="25" t="s">
        <v>58</v>
      </c>
      <c r="H22" s="43" t="n">
        <v>61.4</v>
      </c>
      <c r="I22" s="25" t="s">
        <v>5</v>
      </c>
      <c r="J22" s="44" t="n">
        <f aca="false">IF(I22="EUR",H22*Summary!$C$3,H22)</f>
        <v>61.4</v>
      </c>
      <c r="K22" s="25" t="s">
        <v>183</v>
      </c>
      <c r="L22" s="25" t="s">
        <v>184</v>
      </c>
      <c r="M22" s="26" t="s">
        <v>70</v>
      </c>
    </row>
    <row r="23" customFormat="false" ht="15" hidden="false" customHeight="true" outlineLevel="0" collapsed="false">
      <c r="A23" s="25" t="n">
        <v>22</v>
      </c>
      <c r="B23" s="25" t="s">
        <v>7</v>
      </c>
      <c r="C23" s="25" t="s">
        <v>12</v>
      </c>
      <c r="D23" s="25" t="s">
        <v>216</v>
      </c>
      <c r="E23" s="25" t="s">
        <v>205</v>
      </c>
      <c r="F23" s="25" t="n">
        <v>1</v>
      </c>
      <c r="G23" s="25" t="s">
        <v>59</v>
      </c>
      <c r="H23" s="43" t="n">
        <v>5.36</v>
      </c>
      <c r="I23" s="25" t="s">
        <v>202</v>
      </c>
      <c r="J23" s="44" t="n">
        <f aca="false">IF(I23="EUR",H23*Summary!$C$3,H23)</f>
        <v>58.96</v>
      </c>
      <c r="K23" s="25" t="s">
        <v>183</v>
      </c>
      <c r="L23" s="25"/>
      <c r="M23" s="26" t="s">
        <v>71</v>
      </c>
    </row>
    <row r="24" customFormat="false" ht="15" hidden="false" customHeight="true" outlineLevel="0" collapsed="false">
      <c r="A24" s="25" t="n">
        <v>23</v>
      </c>
      <c r="B24" s="25" t="s">
        <v>7</v>
      </c>
      <c r="C24" s="25" t="s">
        <v>12</v>
      </c>
      <c r="D24" s="25" t="s">
        <v>217</v>
      </c>
      <c r="E24" s="25" t="s">
        <v>218</v>
      </c>
      <c r="F24" s="25" t="n">
        <v>1</v>
      </c>
      <c r="G24" s="25" t="s">
        <v>59</v>
      </c>
      <c r="H24" s="43" t="n">
        <v>19.31</v>
      </c>
      <c r="I24" s="25" t="s">
        <v>202</v>
      </c>
      <c r="J24" s="44" t="n">
        <f aca="false">IF(I24="EUR",H24*Summary!$C$3,H24)</f>
        <v>212.41</v>
      </c>
      <c r="K24" s="25" t="s">
        <v>183</v>
      </c>
      <c r="L24" s="25"/>
      <c r="M24" s="26" t="s">
        <v>71</v>
      </c>
    </row>
    <row r="25" customFormat="false" ht="15" hidden="false" customHeight="true" outlineLevel="0" collapsed="false">
      <c r="A25" s="25" t="n">
        <v>24</v>
      </c>
      <c r="B25" s="25" t="s">
        <v>7</v>
      </c>
      <c r="C25" s="25" t="s">
        <v>12</v>
      </c>
      <c r="D25" s="25" t="s">
        <v>219</v>
      </c>
      <c r="E25" s="25" t="s">
        <v>220</v>
      </c>
      <c r="F25" s="25" t="n">
        <v>2</v>
      </c>
      <c r="G25" s="25" t="s">
        <v>56</v>
      </c>
      <c r="H25" s="43" t="n">
        <v>82.76</v>
      </c>
      <c r="I25" s="25" t="s">
        <v>5</v>
      </c>
      <c r="J25" s="44" t="n">
        <f aca="false">IF(I25="EUR",H25*Summary!$C$3,H25)</f>
        <v>82.76</v>
      </c>
      <c r="K25" s="25" t="s">
        <v>198</v>
      </c>
      <c r="L25" s="25"/>
      <c r="M25" s="26" t="s">
        <v>71</v>
      </c>
    </row>
    <row r="26" customFormat="false" ht="15" hidden="false" customHeight="true" outlineLevel="0" collapsed="false">
      <c r="A26" s="25" t="n">
        <v>25</v>
      </c>
      <c r="B26" s="25" t="s">
        <v>7</v>
      </c>
      <c r="C26" s="25" t="s">
        <v>12</v>
      </c>
      <c r="D26" s="25" t="s">
        <v>221</v>
      </c>
      <c r="E26" s="25" t="s">
        <v>220</v>
      </c>
      <c r="F26" s="25" t="n">
        <v>1</v>
      </c>
      <c r="G26" s="25" t="s">
        <v>58</v>
      </c>
      <c r="H26" s="43" t="n">
        <v>33.39</v>
      </c>
      <c r="I26" s="25" t="s">
        <v>5</v>
      </c>
      <c r="J26" s="44" t="n">
        <f aca="false">IF(I26="EUR",H26*Summary!$C$3,H26)</f>
        <v>33.39</v>
      </c>
      <c r="K26" s="25" t="s">
        <v>183</v>
      </c>
      <c r="L26" s="25" t="s">
        <v>184</v>
      </c>
      <c r="M26" s="26" t="s">
        <v>70</v>
      </c>
    </row>
    <row r="27" customFormat="false" ht="15" hidden="false" customHeight="true" outlineLevel="0" collapsed="false">
      <c r="A27" s="25" t="n">
        <v>26</v>
      </c>
      <c r="B27" s="25" t="s">
        <v>7</v>
      </c>
      <c r="C27" s="25" t="s">
        <v>12</v>
      </c>
      <c r="D27" s="25" t="s">
        <v>222</v>
      </c>
      <c r="E27" s="25" t="s">
        <v>193</v>
      </c>
      <c r="F27" s="25" t="n">
        <v>2</v>
      </c>
      <c r="G27" s="25" t="s">
        <v>56</v>
      </c>
      <c r="H27" s="43" t="n">
        <v>67.97</v>
      </c>
      <c r="I27" s="25" t="s">
        <v>5</v>
      </c>
      <c r="J27" s="44" t="n">
        <f aca="false">IF(I27="EUR",H27*Summary!$C$3,H27)</f>
        <v>67.97</v>
      </c>
      <c r="K27" s="25" t="s">
        <v>198</v>
      </c>
      <c r="L27" s="25"/>
      <c r="M27" s="26" t="s">
        <v>71</v>
      </c>
    </row>
    <row r="28" customFormat="false" ht="15" hidden="false" customHeight="true" outlineLevel="0" collapsed="false">
      <c r="A28" s="25" t="n">
        <v>27</v>
      </c>
      <c r="B28" s="25" t="s">
        <v>7</v>
      </c>
      <c r="C28" s="25" t="s">
        <v>12</v>
      </c>
      <c r="D28" s="25" t="s">
        <v>223</v>
      </c>
      <c r="E28" s="25" t="s">
        <v>224</v>
      </c>
      <c r="F28" s="25" t="n">
        <v>2</v>
      </c>
      <c r="G28" s="25" t="s">
        <v>56</v>
      </c>
      <c r="H28" s="43" t="n">
        <v>63.58</v>
      </c>
      <c r="I28" s="25" t="s">
        <v>5</v>
      </c>
      <c r="J28" s="44" t="n">
        <f aca="false">IF(I28="EUR",H28*Summary!$C$3,H28)</f>
        <v>63.58</v>
      </c>
      <c r="K28" s="25" t="s">
        <v>176</v>
      </c>
      <c r="L28" s="25"/>
      <c r="M28" s="26" t="s">
        <v>71</v>
      </c>
    </row>
    <row r="29" customFormat="false" ht="15" hidden="false" customHeight="true" outlineLevel="0" collapsed="false">
      <c r="A29" s="25" t="n">
        <v>28</v>
      </c>
      <c r="B29" s="25" t="s">
        <v>7</v>
      </c>
      <c r="C29" s="25" t="s">
        <v>12</v>
      </c>
      <c r="D29" s="25" t="s">
        <v>225</v>
      </c>
      <c r="E29" s="25" t="s">
        <v>226</v>
      </c>
      <c r="F29" s="25" t="n">
        <v>5</v>
      </c>
      <c r="G29" s="25" t="s">
        <v>58</v>
      </c>
      <c r="H29" s="43" t="n">
        <v>166.94</v>
      </c>
      <c r="I29" s="25" t="s">
        <v>5</v>
      </c>
      <c r="J29" s="44" t="n">
        <f aca="false">IF(I29="EUR",H29*Summary!$C$3,H29)</f>
        <v>166.94</v>
      </c>
      <c r="K29" s="25" t="s">
        <v>183</v>
      </c>
      <c r="L29" s="25" t="s">
        <v>184</v>
      </c>
      <c r="M29" s="26" t="s">
        <v>70</v>
      </c>
    </row>
    <row r="30" customFormat="false" ht="15" hidden="false" customHeight="true" outlineLevel="0" collapsed="false">
      <c r="A30" s="25" t="n">
        <v>29</v>
      </c>
      <c r="B30" s="25" t="s">
        <v>7</v>
      </c>
      <c r="C30" s="25" t="s">
        <v>12</v>
      </c>
      <c r="D30" s="25" t="s">
        <v>227</v>
      </c>
      <c r="E30" s="25" t="s">
        <v>228</v>
      </c>
      <c r="F30" s="25" t="n">
        <v>1</v>
      </c>
      <c r="G30" s="25" t="s">
        <v>59</v>
      </c>
      <c r="H30" s="43" t="n">
        <v>19.31</v>
      </c>
      <c r="I30" s="25" t="s">
        <v>202</v>
      </c>
      <c r="J30" s="44" t="n">
        <f aca="false">IF(I30="EUR",H30*Summary!$C$3,H30)</f>
        <v>212.41</v>
      </c>
      <c r="K30" s="25" t="s">
        <v>183</v>
      </c>
      <c r="L30" s="25"/>
      <c r="M30" s="26" t="s">
        <v>71</v>
      </c>
    </row>
    <row r="31" customFormat="false" ht="15" hidden="false" customHeight="true" outlineLevel="0" collapsed="false">
      <c r="A31" s="25" t="n">
        <v>30</v>
      </c>
      <c r="B31" s="25" t="s">
        <v>7</v>
      </c>
      <c r="C31" s="25" t="s">
        <v>13</v>
      </c>
      <c r="D31" s="25" t="s">
        <v>229</v>
      </c>
      <c r="E31" s="25" t="s">
        <v>230</v>
      </c>
      <c r="F31" s="25" t="n">
        <v>2</v>
      </c>
      <c r="G31" s="25" t="s">
        <v>58</v>
      </c>
      <c r="H31" s="43" t="n">
        <v>223.23</v>
      </c>
      <c r="I31" s="25" t="s">
        <v>5</v>
      </c>
      <c r="J31" s="44" t="n">
        <f aca="false">IF(I31="EUR",H31*Summary!$C$3,H31)</f>
        <v>223.23</v>
      </c>
      <c r="K31" s="25" t="s">
        <v>183</v>
      </c>
      <c r="L31" s="25" t="s">
        <v>184</v>
      </c>
      <c r="M31" s="26" t="s">
        <v>70</v>
      </c>
    </row>
    <row r="32" customFormat="false" ht="15" hidden="false" customHeight="true" outlineLevel="0" collapsed="false">
      <c r="A32" s="25" t="n">
        <v>31</v>
      </c>
      <c r="B32" s="25" t="s">
        <v>7</v>
      </c>
      <c r="C32" s="25" t="s">
        <v>13</v>
      </c>
      <c r="D32" s="25" t="s">
        <v>231</v>
      </c>
      <c r="E32" s="25" t="s">
        <v>232</v>
      </c>
      <c r="F32" s="25" t="n">
        <v>2</v>
      </c>
      <c r="G32" s="25" t="s">
        <v>59</v>
      </c>
      <c r="H32" s="43" t="n">
        <v>23.5</v>
      </c>
      <c r="I32" s="25" t="s">
        <v>202</v>
      </c>
      <c r="J32" s="44" t="n">
        <f aca="false">IF(I32="EUR",H32*Summary!$C$3,H32)</f>
        <v>258.5</v>
      </c>
      <c r="K32" s="25" t="s">
        <v>183</v>
      </c>
      <c r="L32" s="25"/>
      <c r="M32" s="26" t="s">
        <v>71</v>
      </c>
    </row>
    <row r="33" customFormat="false" ht="15" hidden="false" customHeight="true" outlineLevel="0" collapsed="false">
      <c r="A33" s="25" t="n">
        <v>32</v>
      </c>
      <c r="B33" s="25" t="s">
        <v>7</v>
      </c>
      <c r="C33" s="25" t="s">
        <v>14</v>
      </c>
      <c r="D33" s="25" t="s">
        <v>233</v>
      </c>
      <c r="E33" s="25" t="s">
        <v>234</v>
      </c>
      <c r="F33" s="25" t="n">
        <v>2</v>
      </c>
      <c r="G33" s="25" t="s">
        <v>58</v>
      </c>
      <c r="H33" s="43" t="n">
        <v>267.93</v>
      </c>
      <c r="I33" s="25" t="s">
        <v>5</v>
      </c>
      <c r="J33" s="44" t="n">
        <f aca="false">IF(I33="EUR",H33*Summary!$C$3,H33)</f>
        <v>267.93</v>
      </c>
      <c r="K33" s="25" t="s">
        <v>183</v>
      </c>
      <c r="L33" s="25" t="s">
        <v>184</v>
      </c>
      <c r="M33" s="26" t="s">
        <v>70</v>
      </c>
    </row>
    <row r="34" customFormat="false" ht="15" hidden="false" customHeight="true" outlineLevel="0" collapsed="false">
      <c r="A34" s="25" t="n">
        <v>33</v>
      </c>
      <c r="B34" s="25" t="s">
        <v>7</v>
      </c>
      <c r="C34" s="25" t="s">
        <v>14</v>
      </c>
      <c r="D34" s="25" t="s">
        <v>235</v>
      </c>
      <c r="E34" s="25"/>
      <c r="F34" s="25" t="n">
        <v>2</v>
      </c>
      <c r="G34" s="25" t="s">
        <v>60</v>
      </c>
      <c r="H34" s="43" t="n">
        <v>12.44</v>
      </c>
      <c r="I34" s="25" t="s">
        <v>202</v>
      </c>
      <c r="J34" s="44" t="n">
        <f aca="false">IF(I34="EUR",H34*Summary!$C$3,H34)</f>
        <v>136.84</v>
      </c>
      <c r="K34" s="25" t="s">
        <v>183</v>
      </c>
      <c r="L34" s="25" t="s">
        <v>236</v>
      </c>
      <c r="M34" s="26" t="s">
        <v>71</v>
      </c>
    </row>
    <row r="35" customFormat="false" ht="15" hidden="false" customHeight="true" outlineLevel="0" collapsed="false">
      <c r="A35" s="25" t="n">
        <v>34</v>
      </c>
      <c r="B35" s="25" t="s">
        <v>7</v>
      </c>
      <c r="C35" s="25" t="s">
        <v>15</v>
      </c>
      <c r="D35" s="25" t="s">
        <v>237</v>
      </c>
      <c r="E35" s="25" t="s">
        <v>238</v>
      </c>
      <c r="F35" s="25" t="n">
        <v>3</v>
      </c>
      <c r="G35" s="25" t="s">
        <v>56</v>
      </c>
      <c r="H35" s="43" t="n">
        <v>16.76</v>
      </c>
      <c r="I35" s="25" t="s">
        <v>202</v>
      </c>
      <c r="J35" s="44" t="n">
        <f aca="false">IF(I35="EUR",H35*Summary!$C$3,H35)</f>
        <v>184.36</v>
      </c>
      <c r="K35" s="25" t="s">
        <v>176</v>
      </c>
      <c r="L35" s="25"/>
      <c r="M35" s="26" t="s">
        <v>71</v>
      </c>
    </row>
    <row r="36" customFormat="false" ht="15" hidden="false" customHeight="true" outlineLevel="0" collapsed="false">
      <c r="A36" s="25" t="n">
        <v>35</v>
      </c>
      <c r="B36" s="25" t="s">
        <v>7</v>
      </c>
      <c r="C36" s="25" t="s">
        <v>15</v>
      </c>
      <c r="D36" s="25" t="s">
        <v>239</v>
      </c>
      <c r="E36" s="25" t="s">
        <v>193</v>
      </c>
      <c r="F36" s="25" t="n">
        <v>1</v>
      </c>
      <c r="G36" s="25" t="s">
        <v>58</v>
      </c>
      <c r="H36" s="43" t="n">
        <v>78.09</v>
      </c>
      <c r="I36" s="25" t="s">
        <v>5</v>
      </c>
      <c r="J36" s="44" t="n">
        <f aca="false">IF(I36="EUR",H36*Summary!$C$3,H36)</f>
        <v>78.09</v>
      </c>
      <c r="K36" s="25" t="s">
        <v>183</v>
      </c>
      <c r="L36" s="25" t="s">
        <v>184</v>
      </c>
      <c r="M36" s="26" t="s">
        <v>70</v>
      </c>
    </row>
    <row r="37" customFormat="false" ht="15" hidden="false" customHeight="true" outlineLevel="0" collapsed="false">
      <c r="A37" s="25" t="n">
        <v>36</v>
      </c>
      <c r="B37" s="25" t="s">
        <v>7</v>
      </c>
      <c r="C37" s="25" t="s">
        <v>16</v>
      </c>
      <c r="D37" s="25" t="s">
        <v>240</v>
      </c>
      <c r="E37" s="25"/>
      <c r="F37" s="25" t="n">
        <v>1</v>
      </c>
      <c r="G37" s="25" t="s">
        <v>58</v>
      </c>
      <c r="H37" s="43" t="n">
        <v>335.12</v>
      </c>
      <c r="I37" s="25" t="s">
        <v>5</v>
      </c>
      <c r="J37" s="44" t="n">
        <f aca="false">IF(I37="EUR",H37*Summary!$C$3,H37)</f>
        <v>335.12</v>
      </c>
      <c r="K37" s="25" t="s">
        <v>183</v>
      </c>
      <c r="L37" s="25" t="s">
        <v>184</v>
      </c>
      <c r="M37" s="26" t="s">
        <v>70</v>
      </c>
    </row>
    <row r="38" customFormat="false" ht="15" hidden="false" customHeight="true" outlineLevel="0" collapsed="false">
      <c r="A38" s="25" t="n">
        <v>37</v>
      </c>
      <c r="B38" s="25" t="s">
        <v>7</v>
      </c>
      <c r="C38" s="25" t="s">
        <v>16</v>
      </c>
      <c r="D38" s="25" t="s">
        <v>241</v>
      </c>
      <c r="E38" s="25"/>
      <c r="F38" s="25" t="n">
        <v>1</v>
      </c>
      <c r="G38" s="25" t="s">
        <v>58</v>
      </c>
      <c r="H38" s="43" t="n">
        <v>55.74</v>
      </c>
      <c r="I38" s="25" t="s">
        <v>5</v>
      </c>
      <c r="J38" s="44" t="n">
        <f aca="false">IF(I38="EUR",H38*Summary!$C$3,H38)</f>
        <v>55.74</v>
      </c>
      <c r="K38" s="25" t="s">
        <v>183</v>
      </c>
      <c r="L38" s="25" t="s">
        <v>184</v>
      </c>
      <c r="M38" s="26" t="s">
        <v>70</v>
      </c>
    </row>
    <row r="39" customFormat="false" ht="15" hidden="false" customHeight="true" outlineLevel="0" collapsed="false">
      <c r="A39" s="25" t="n">
        <v>38</v>
      </c>
      <c r="B39" s="25" t="s">
        <v>7</v>
      </c>
      <c r="C39" s="25" t="s">
        <v>16</v>
      </c>
      <c r="D39" s="25" t="s">
        <v>242</v>
      </c>
      <c r="E39" s="25"/>
      <c r="F39" s="25" t="n">
        <v>1</v>
      </c>
      <c r="G39" s="25" t="s">
        <v>58</v>
      </c>
      <c r="H39" s="43" t="n">
        <v>33.39</v>
      </c>
      <c r="I39" s="25" t="s">
        <v>5</v>
      </c>
      <c r="J39" s="44" t="n">
        <f aca="false">IF(I39="EUR",H39*Summary!$C$3,H39)</f>
        <v>33.39</v>
      </c>
      <c r="K39" s="25" t="s">
        <v>183</v>
      </c>
      <c r="L39" s="25" t="s">
        <v>184</v>
      </c>
      <c r="M39" s="26" t="s">
        <v>70</v>
      </c>
    </row>
    <row r="40" customFormat="false" ht="15" hidden="false" customHeight="true" outlineLevel="0" collapsed="false">
      <c r="A40" s="25" t="n">
        <v>39</v>
      </c>
      <c r="B40" s="25" t="s">
        <v>7</v>
      </c>
      <c r="C40" s="25" t="s">
        <v>16</v>
      </c>
      <c r="D40" s="25" t="s">
        <v>243</v>
      </c>
      <c r="E40" s="25"/>
      <c r="F40" s="25" t="n">
        <v>1</v>
      </c>
      <c r="G40" s="25" t="s">
        <v>58</v>
      </c>
      <c r="H40" s="43" t="n">
        <v>66.91</v>
      </c>
      <c r="I40" s="25" t="s">
        <v>5</v>
      </c>
      <c r="J40" s="44" t="n">
        <f aca="false">IF(I40="EUR",H40*Summary!$C$3,H40)</f>
        <v>66.91</v>
      </c>
      <c r="K40" s="25" t="s">
        <v>183</v>
      </c>
      <c r="L40" s="25" t="s">
        <v>184</v>
      </c>
      <c r="M40" s="26" t="s">
        <v>70</v>
      </c>
    </row>
    <row r="41" customFormat="false" ht="15" hidden="false" customHeight="true" outlineLevel="0" collapsed="false">
      <c r="A41" s="25" t="n">
        <v>40</v>
      </c>
      <c r="B41" s="25" t="s">
        <v>17</v>
      </c>
      <c r="C41" s="25" t="s">
        <v>18</v>
      </c>
      <c r="D41" s="25" t="s">
        <v>244</v>
      </c>
      <c r="E41" s="25"/>
      <c r="F41" s="25" t="n">
        <v>1</v>
      </c>
      <c r="G41" s="25" t="s">
        <v>61</v>
      </c>
      <c r="H41" s="43" t="n">
        <v>289</v>
      </c>
      <c r="I41" s="25" t="s">
        <v>5</v>
      </c>
      <c r="J41" s="44" t="n">
        <f aca="false">IF(I41="EUR",H41*Summary!$C$3,H41)</f>
        <v>289</v>
      </c>
      <c r="K41" s="25" t="s">
        <v>183</v>
      </c>
      <c r="L41" s="25" t="s">
        <v>245</v>
      </c>
      <c r="M41" s="26" t="s">
        <v>70</v>
      </c>
    </row>
    <row r="42" customFormat="false" ht="15" hidden="false" customHeight="true" outlineLevel="0" collapsed="false">
      <c r="A42" s="25" t="n">
        <v>41</v>
      </c>
      <c r="B42" s="25" t="s">
        <v>17</v>
      </c>
      <c r="C42" s="25" t="s">
        <v>18</v>
      </c>
      <c r="D42" s="25" t="s">
        <v>246</v>
      </c>
      <c r="E42" s="25" t="s">
        <v>247</v>
      </c>
      <c r="F42" s="25" t="n">
        <v>1</v>
      </c>
      <c r="G42" s="25" t="s">
        <v>62</v>
      </c>
      <c r="H42" s="43" t="n">
        <v>717</v>
      </c>
      <c r="I42" s="25" t="s">
        <v>5</v>
      </c>
      <c r="J42" s="44" t="n">
        <f aca="false">IF(I42="EUR",H42*Summary!$C$3,H42)</f>
        <v>717</v>
      </c>
      <c r="K42" s="25" t="s">
        <v>183</v>
      </c>
      <c r="L42" s="25" t="s">
        <v>184</v>
      </c>
      <c r="M42" s="26" t="s">
        <v>70</v>
      </c>
    </row>
    <row r="43" customFormat="false" ht="15" hidden="false" customHeight="true" outlineLevel="0" collapsed="false">
      <c r="A43" s="25" t="n">
        <v>42</v>
      </c>
      <c r="B43" s="25" t="s">
        <v>17</v>
      </c>
      <c r="C43" s="25" t="s">
        <v>19</v>
      </c>
      <c r="D43" s="25" t="s">
        <v>248</v>
      </c>
      <c r="E43" s="25"/>
      <c r="F43" s="25" t="n">
        <v>1</v>
      </c>
      <c r="G43" s="25" t="s">
        <v>61</v>
      </c>
      <c r="H43" s="43" t="n">
        <v>629</v>
      </c>
      <c r="I43" s="25" t="s">
        <v>5</v>
      </c>
      <c r="J43" s="44" t="n">
        <f aca="false">IF(I43="EUR",H43*Summary!$C$3,H43)</f>
        <v>629</v>
      </c>
      <c r="K43" s="25" t="s">
        <v>183</v>
      </c>
      <c r="L43" s="25"/>
      <c r="M43" s="26" t="s">
        <v>70</v>
      </c>
    </row>
    <row r="44" customFormat="false" ht="15" hidden="false" customHeight="true" outlineLevel="0" collapsed="false">
      <c r="A44" s="25" t="n">
        <v>43</v>
      </c>
      <c r="B44" s="25" t="s">
        <v>17</v>
      </c>
      <c r="C44" s="25" t="s">
        <v>20</v>
      </c>
      <c r="D44" s="25" t="s">
        <v>249</v>
      </c>
      <c r="E44" s="25"/>
      <c r="F44" s="25" t="n">
        <v>1</v>
      </c>
      <c r="G44" s="25" t="s">
        <v>61</v>
      </c>
      <c r="H44" s="43" t="n">
        <v>179</v>
      </c>
      <c r="I44" s="25" t="s">
        <v>5</v>
      </c>
      <c r="J44" s="44" t="n">
        <f aca="false">IF(I44="EUR",H44*Summary!$C$3,H44)</f>
        <v>179</v>
      </c>
      <c r="K44" s="25" t="s">
        <v>183</v>
      </c>
      <c r="L44" s="25"/>
      <c r="M44" s="26" t="s">
        <v>70</v>
      </c>
    </row>
    <row r="45" customFormat="false" ht="15" hidden="false" customHeight="true" outlineLevel="0" collapsed="false">
      <c r="A45" s="25" t="n">
        <v>44</v>
      </c>
      <c r="B45" s="25" t="s">
        <v>17</v>
      </c>
      <c r="C45" s="25" t="s">
        <v>20</v>
      </c>
      <c r="D45" s="25" t="s">
        <v>250</v>
      </c>
      <c r="E45" s="25" t="s">
        <v>251</v>
      </c>
      <c r="F45" s="25" t="n">
        <v>1</v>
      </c>
      <c r="G45" s="25" t="s">
        <v>61</v>
      </c>
      <c r="H45" s="43" t="n">
        <v>39</v>
      </c>
      <c r="I45" s="25" t="s">
        <v>5</v>
      </c>
      <c r="J45" s="44" t="n">
        <f aca="false">IF(I45="EUR",H45*Summary!$C$3,H45)</f>
        <v>39</v>
      </c>
      <c r="K45" s="25" t="s">
        <v>183</v>
      </c>
      <c r="L45" s="25"/>
      <c r="M45" s="26" t="s">
        <v>70</v>
      </c>
    </row>
    <row r="46" customFormat="false" ht="15" hidden="false" customHeight="true" outlineLevel="0" collapsed="false">
      <c r="A46" s="25" t="n">
        <v>45</v>
      </c>
      <c r="B46" s="25" t="s">
        <v>17</v>
      </c>
      <c r="C46" s="25" t="s">
        <v>21</v>
      </c>
      <c r="D46" s="25" t="s">
        <v>252</v>
      </c>
      <c r="E46" s="25" t="s">
        <v>253</v>
      </c>
      <c r="F46" s="25" t="n">
        <v>2</v>
      </c>
      <c r="G46" s="25" t="s">
        <v>56</v>
      </c>
      <c r="H46" s="43" t="n">
        <v>346.78</v>
      </c>
      <c r="I46" s="25" t="s">
        <v>5</v>
      </c>
      <c r="J46" s="44" t="n">
        <f aca="false">IF(I46="EUR",H46*Summary!$C$3,H46)</f>
        <v>346.78</v>
      </c>
      <c r="K46" s="25" t="s">
        <v>176</v>
      </c>
      <c r="L46" s="25" t="s">
        <v>254</v>
      </c>
      <c r="M46" s="26" t="s">
        <v>70</v>
      </c>
    </row>
    <row r="47" customFormat="false" ht="15" hidden="false" customHeight="true" outlineLevel="0" collapsed="false">
      <c r="A47" s="25" t="n">
        <v>46</v>
      </c>
      <c r="B47" s="25" t="s">
        <v>17</v>
      </c>
      <c r="C47" s="25" t="s">
        <v>21</v>
      </c>
      <c r="D47" s="25" t="s">
        <v>255</v>
      </c>
      <c r="E47" s="25" t="s">
        <v>256</v>
      </c>
      <c r="F47" s="25" t="n">
        <v>1</v>
      </c>
      <c r="G47" s="25" t="s">
        <v>61</v>
      </c>
      <c r="H47" s="43" t="n">
        <v>359</v>
      </c>
      <c r="I47" s="25" t="s">
        <v>5</v>
      </c>
      <c r="J47" s="44" t="n">
        <f aca="false">IF(I47="EUR",H47*Summary!$C$3,H47)</f>
        <v>359</v>
      </c>
      <c r="K47" s="25" t="s">
        <v>257</v>
      </c>
      <c r="L47" s="25" t="s">
        <v>258</v>
      </c>
      <c r="M47" s="26" t="s">
        <v>70</v>
      </c>
    </row>
    <row r="48" customFormat="false" ht="15" hidden="false" customHeight="true" outlineLevel="0" collapsed="false">
      <c r="A48" s="25" t="n">
        <v>47</v>
      </c>
      <c r="B48" s="25" t="s">
        <v>17</v>
      </c>
      <c r="C48" s="25" t="s">
        <v>22</v>
      </c>
      <c r="D48" s="25" t="s">
        <v>259</v>
      </c>
      <c r="E48" s="25" t="s">
        <v>260</v>
      </c>
      <c r="F48" s="25" t="n">
        <v>1</v>
      </c>
      <c r="G48" s="25" t="s">
        <v>61</v>
      </c>
      <c r="H48" s="43" t="n">
        <v>151</v>
      </c>
      <c r="I48" s="25" t="s">
        <v>5</v>
      </c>
      <c r="J48" s="44" t="n">
        <f aca="false">IF(I48="EUR",H48*Summary!$C$3,H48)</f>
        <v>151</v>
      </c>
      <c r="K48" s="25" t="s">
        <v>183</v>
      </c>
      <c r="L48" s="25"/>
      <c r="M48" s="26" t="s">
        <v>70</v>
      </c>
    </row>
    <row r="49" customFormat="false" ht="15" hidden="false" customHeight="true" outlineLevel="0" collapsed="false">
      <c r="A49" s="25" t="n">
        <v>48</v>
      </c>
      <c r="B49" s="25" t="s">
        <v>17</v>
      </c>
      <c r="C49" s="25" t="s">
        <v>22</v>
      </c>
      <c r="D49" s="25" t="s">
        <v>261</v>
      </c>
      <c r="E49" s="25" t="s">
        <v>262</v>
      </c>
      <c r="F49" s="25" t="n">
        <v>1</v>
      </c>
      <c r="G49" s="25" t="s">
        <v>61</v>
      </c>
      <c r="H49" s="43" t="n">
        <v>189</v>
      </c>
      <c r="I49" s="25" t="s">
        <v>5</v>
      </c>
      <c r="J49" s="44" t="n">
        <f aca="false">IF(I49="EUR",H49*Summary!$C$3,H49)</f>
        <v>189</v>
      </c>
      <c r="K49" s="25" t="s">
        <v>183</v>
      </c>
      <c r="L49" s="25"/>
      <c r="M49" s="26" t="s">
        <v>70</v>
      </c>
    </row>
    <row r="50" customFormat="false" ht="15" hidden="false" customHeight="true" outlineLevel="0" collapsed="false">
      <c r="A50" s="25" t="n">
        <v>49</v>
      </c>
      <c r="B50" s="25" t="s">
        <v>17</v>
      </c>
      <c r="C50" s="25" t="s">
        <v>22</v>
      </c>
      <c r="D50" s="25" t="s">
        <v>263</v>
      </c>
      <c r="E50" s="25" t="s">
        <v>264</v>
      </c>
      <c r="F50" s="25" t="n">
        <v>1</v>
      </c>
      <c r="G50" s="25" t="s">
        <v>61</v>
      </c>
      <c r="H50" s="43" t="n">
        <v>129</v>
      </c>
      <c r="I50" s="25" t="s">
        <v>5</v>
      </c>
      <c r="J50" s="44" t="n">
        <f aca="false">IF(I50="EUR",H50*Summary!$C$3,H50)</f>
        <v>129</v>
      </c>
      <c r="K50" s="25" t="s">
        <v>183</v>
      </c>
      <c r="L50" s="25"/>
      <c r="M50" s="26" t="s">
        <v>70</v>
      </c>
    </row>
    <row r="51" customFormat="false" ht="15" hidden="false" customHeight="true" outlineLevel="0" collapsed="false">
      <c r="A51" s="25" t="n">
        <v>50</v>
      </c>
      <c r="B51" s="25" t="s">
        <v>17</v>
      </c>
      <c r="C51" s="25" t="s">
        <v>22</v>
      </c>
      <c r="D51" s="25" t="s">
        <v>263</v>
      </c>
      <c r="E51" s="25" t="s">
        <v>265</v>
      </c>
      <c r="F51" s="25" t="n">
        <v>1</v>
      </c>
      <c r="G51" s="25" t="s">
        <v>61</v>
      </c>
      <c r="H51" s="43" t="n">
        <v>129</v>
      </c>
      <c r="I51" s="25" t="s">
        <v>5</v>
      </c>
      <c r="J51" s="44" t="n">
        <f aca="false">IF(I51="EUR",H51*Summary!$C$3,H51)</f>
        <v>129</v>
      </c>
      <c r="K51" s="25" t="s">
        <v>183</v>
      </c>
      <c r="L51" s="25"/>
      <c r="M51" s="26" t="s">
        <v>70</v>
      </c>
    </row>
    <row r="52" customFormat="false" ht="15" hidden="false" customHeight="true" outlineLevel="0" collapsed="false">
      <c r="A52" s="25" t="n">
        <v>51</v>
      </c>
      <c r="B52" s="25" t="s">
        <v>17</v>
      </c>
      <c r="C52" s="25" t="s">
        <v>23</v>
      </c>
      <c r="D52" s="25" t="s">
        <v>266</v>
      </c>
      <c r="E52" s="25" t="s">
        <v>267</v>
      </c>
      <c r="F52" s="25" t="n">
        <v>1</v>
      </c>
      <c r="G52" s="25" t="s">
        <v>61</v>
      </c>
      <c r="H52" s="43" t="n">
        <v>126</v>
      </c>
      <c r="I52" s="25" t="s">
        <v>5</v>
      </c>
      <c r="J52" s="44" t="n">
        <f aca="false">IF(I52="EUR",H52*Summary!$C$3,H52)</f>
        <v>126</v>
      </c>
      <c r="K52" s="25" t="s">
        <v>257</v>
      </c>
      <c r="L52" s="25" t="s">
        <v>268</v>
      </c>
      <c r="M52" s="26" t="s">
        <v>70</v>
      </c>
    </row>
    <row r="53" customFormat="false" ht="15" hidden="false" customHeight="true" outlineLevel="0" collapsed="false">
      <c r="A53" s="25" t="n">
        <v>52</v>
      </c>
      <c r="B53" s="25" t="s">
        <v>17</v>
      </c>
      <c r="C53" s="25" t="s">
        <v>23</v>
      </c>
      <c r="D53" s="25" t="s">
        <v>269</v>
      </c>
      <c r="E53" s="25" t="s">
        <v>270</v>
      </c>
      <c r="F53" s="25" t="n">
        <v>1</v>
      </c>
      <c r="G53" s="25" t="s">
        <v>56</v>
      </c>
      <c r="H53" s="43" t="n">
        <v>120.46</v>
      </c>
      <c r="I53" s="25" t="s">
        <v>5</v>
      </c>
      <c r="J53" s="44" t="n">
        <f aca="false">IF(I53="EUR",H53*Summary!$C$3,H53)</f>
        <v>120.46</v>
      </c>
      <c r="K53" s="25" t="s">
        <v>176</v>
      </c>
      <c r="L53" s="25"/>
      <c r="M53" s="26" t="s">
        <v>70</v>
      </c>
    </row>
    <row r="54" customFormat="false" ht="15" hidden="false" customHeight="true" outlineLevel="0" collapsed="false">
      <c r="A54" s="25" t="n">
        <v>53</v>
      </c>
      <c r="B54" s="25" t="s">
        <v>17</v>
      </c>
      <c r="C54" s="25" t="s">
        <v>23</v>
      </c>
      <c r="D54" s="25" t="s">
        <v>271</v>
      </c>
      <c r="E54" s="25" t="s">
        <v>272</v>
      </c>
      <c r="F54" s="25" t="n">
        <v>2</v>
      </c>
      <c r="G54" s="25" t="s">
        <v>56</v>
      </c>
      <c r="H54" s="43" t="n">
        <v>48.07</v>
      </c>
      <c r="I54" s="25" t="s">
        <v>5</v>
      </c>
      <c r="J54" s="44" t="n">
        <f aca="false">IF(I54="EUR",H54*Summary!$C$3,H54)</f>
        <v>48.07</v>
      </c>
      <c r="K54" s="25" t="s">
        <v>176</v>
      </c>
      <c r="L54" s="25"/>
      <c r="M54" s="26" t="s">
        <v>70</v>
      </c>
    </row>
    <row r="55" customFormat="false" ht="15" hidden="false" customHeight="true" outlineLevel="0" collapsed="false">
      <c r="A55" s="25" t="n">
        <v>54</v>
      </c>
      <c r="B55" s="25" t="s">
        <v>17</v>
      </c>
      <c r="C55" s="25" t="s">
        <v>23</v>
      </c>
      <c r="D55" s="25" t="s">
        <v>273</v>
      </c>
      <c r="E55" s="25" t="s">
        <v>274</v>
      </c>
      <c r="F55" s="25" t="n">
        <v>1</v>
      </c>
      <c r="G55" s="25" t="s">
        <v>56</v>
      </c>
      <c r="H55" s="43" t="n">
        <v>24.93</v>
      </c>
      <c r="I55" s="25" t="s">
        <v>5</v>
      </c>
      <c r="J55" s="44" t="n">
        <f aca="false">IF(I55="EUR",H55*Summary!$C$3,H55)</f>
        <v>24.93</v>
      </c>
      <c r="K55" s="25" t="s">
        <v>176</v>
      </c>
      <c r="L55" s="25" t="s">
        <v>275</v>
      </c>
      <c r="M55" s="26" t="s">
        <v>70</v>
      </c>
    </row>
    <row r="56" customFormat="false" ht="15" hidden="false" customHeight="true" outlineLevel="0" collapsed="false">
      <c r="A56" s="25" t="n">
        <v>55</v>
      </c>
      <c r="B56" s="25" t="s">
        <v>17</v>
      </c>
      <c r="C56" s="25" t="s">
        <v>23</v>
      </c>
      <c r="D56" s="25" t="s">
        <v>273</v>
      </c>
      <c r="E56" s="25" t="s">
        <v>276</v>
      </c>
      <c r="F56" s="25" t="n">
        <v>1</v>
      </c>
      <c r="G56" s="25" t="s">
        <v>56</v>
      </c>
      <c r="H56" s="43" t="n">
        <v>33.86</v>
      </c>
      <c r="I56" s="25" t="s">
        <v>5</v>
      </c>
      <c r="J56" s="44" t="n">
        <f aca="false">IF(I56="EUR",H56*Summary!$C$3,H56)</f>
        <v>33.86</v>
      </c>
      <c r="K56" s="25" t="s">
        <v>176</v>
      </c>
      <c r="L56" s="25" t="s">
        <v>275</v>
      </c>
      <c r="M56" s="26" t="s">
        <v>70</v>
      </c>
    </row>
    <row r="57" customFormat="false" ht="15" hidden="false" customHeight="true" outlineLevel="0" collapsed="false">
      <c r="A57" s="25" t="n">
        <v>56</v>
      </c>
      <c r="B57" s="25" t="s">
        <v>17</v>
      </c>
      <c r="C57" s="25" t="s">
        <v>23</v>
      </c>
      <c r="D57" s="25" t="s">
        <v>273</v>
      </c>
      <c r="E57" s="25" t="s">
        <v>277</v>
      </c>
      <c r="F57" s="25" t="n">
        <v>1</v>
      </c>
      <c r="G57" s="25" t="s">
        <v>56</v>
      </c>
      <c r="H57" s="43" t="n">
        <v>41.68</v>
      </c>
      <c r="I57" s="25" t="s">
        <v>5</v>
      </c>
      <c r="J57" s="44" t="n">
        <f aca="false">IF(I57="EUR",H57*Summary!$C$3,H57)</f>
        <v>41.68</v>
      </c>
      <c r="K57" s="25" t="s">
        <v>176</v>
      </c>
      <c r="L57" s="25" t="s">
        <v>275</v>
      </c>
      <c r="M57" s="26" t="s">
        <v>70</v>
      </c>
    </row>
    <row r="58" customFormat="false" ht="15" hidden="false" customHeight="true" outlineLevel="0" collapsed="false">
      <c r="A58" s="25" t="n">
        <v>57</v>
      </c>
      <c r="B58" s="25" t="s">
        <v>24</v>
      </c>
      <c r="C58" s="25" t="s">
        <v>25</v>
      </c>
      <c r="D58" s="25" t="s">
        <v>278</v>
      </c>
      <c r="E58" s="25" t="s">
        <v>279</v>
      </c>
      <c r="F58" s="25" t="n">
        <v>40</v>
      </c>
      <c r="G58" s="25" t="s">
        <v>63</v>
      </c>
      <c r="H58" s="43" t="n">
        <v>28.8</v>
      </c>
      <c r="I58" s="25" t="s">
        <v>202</v>
      </c>
      <c r="J58" s="44" t="n">
        <f aca="false">IF(I58="EUR",H58*Summary!$C$3,H58)</f>
        <v>316.8</v>
      </c>
      <c r="K58" s="25" t="s">
        <v>183</v>
      </c>
      <c r="L58" s="25" t="s">
        <v>280</v>
      </c>
      <c r="M58" s="26" t="s">
        <v>70</v>
      </c>
    </row>
    <row r="59" customFormat="false" ht="15" hidden="false" customHeight="true" outlineLevel="0" collapsed="false">
      <c r="A59" s="25" t="n">
        <v>58</v>
      </c>
      <c r="B59" s="25" t="s">
        <v>24</v>
      </c>
      <c r="C59" s="25" t="s">
        <v>25</v>
      </c>
      <c r="D59" s="25" t="s">
        <v>281</v>
      </c>
      <c r="E59" s="25" t="s">
        <v>282</v>
      </c>
      <c r="F59" s="25" t="n">
        <v>30</v>
      </c>
      <c r="G59" s="25" t="s">
        <v>63</v>
      </c>
      <c r="H59" s="43" t="n">
        <v>19.5</v>
      </c>
      <c r="I59" s="25" t="s">
        <v>202</v>
      </c>
      <c r="J59" s="44" t="n">
        <f aca="false">IF(I59="EUR",H59*Summary!$C$3,H59)</f>
        <v>214.5</v>
      </c>
      <c r="K59" s="25" t="s">
        <v>183</v>
      </c>
      <c r="L59" s="25" t="s">
        <v>280</v>
      </c>
      <c r="M59" s="26" t="s">
        <v>70</v>
      </c>
    </row>
    <row r="60" customFormat="false" ht="15" hidden="false" customHeight="true" outlineLevel="0" collapsed="false">
      <c r="A60" s="25" t="n">
        <v>59</v>
      </c>
      <c r="B60" s="25" t="s">
        <v>24</v>
      </c>
      <c r="C60" s="25" t="s">
        <v>25</v>
      </c>
      <c r="D60" s="25" t="s">
        <v>281</v>
      </c>
      <c r="E60" s="25" t="s">
        <v>283</v>
      </c>
      <c r="F60" s="25" t="n">
        <v>10</v>
      </c>
      <c r="G60" s="25" t="s">
        <v>63</v>
      </c>
      <c r="H60" s="43" t="n">
        <v>7.2</v>
      </c>
      <c r="I60" s="25" t="s">
        <v>202</v>
      </c>
      <c r="J60" s="44" t="n">
        <f aca="false">IF(I60="EUR",H60*Summary!$C$3,H60)</f>
        <v>79.2</v>
      </c>
      <c r="K60" s="25" t="s">
        <v>183</v>
      </c>
      <c r="L60" s="25" t="s">
        <v>280</v>
      </c>
      <c r="M60" s="26" t="s">
        <v>70</v>
      </c>
    </row>
    <row r="61" customFormat="false" ht="15" hidden="false" customHeight="true" outlineLevel="0" collapsed="false">
      <c r="A61" s="25" t="n">
        <v>60</v>
      </c>
      <c r="B61" s="25" t="s">
        <v>24</v>
      </c>
      <c r="C61" s="25" t="s">
        <v>25</v>
      </c>
      <c r="D61" s="25" t="s">
        <v>284</v>
      </c>
      <c r="E61" s="25"/>
      <c r="F61" s="25" t="n">
        <v>1</v>
      </c>
      <c r="G61" s="25" t="s">
        <v>63</v>
      </c>
      <c r="H61" s="43" t="n">
        <v>1.45</v>
      </c>
      <c r="I61" s="25" t="s">
        <v>202</v>
      </c>
      <c r="J61" s="44" t="n">
        <f aca="false">IF(I61="EUR",H61*Summary!$C$3,H61)</f>
        <v>15.95</v>
      </c>
      <c r="K61" s="25" t="s">
        <v>183</v>
      </c>
      <c r="L61" s="25" t="s">
        <v>236</v>
      </c>
      <c r="M61" s="26" t="s">
        <v>70</v>
      </c>
    </row>
    <row r="62" customFormat="false" ht="15" hidden="false" customHeight="true" outlineLevel="0" collapsed="false">
      <c r="A62" s="25" t="n">
        <v>61</v>
      </c>
      <c r="B62" s="25" t="s">
        <v>24</v>
      </c>
      <c r="C62" s="25" t="s">
        <v>25</v>
      </c>
      <c r="D62" s="25" t="s">
        <v>285</v>
      </c>
      <c r="E62" s="25"/>
      <c r="F62" s="25" t="n">
        <v>1</v>
      </c>
      <c r="G62" s="25" t="s">
        <v>63</v>
      </c>
      <c r="H62" s="43" t="n">
        <v>1.33</v>
      </c>
      <c r="I62" s="25" t="s">
        <v>202</v>
      </c>
      <c r="J62" s="44" t="n">
        <f aca="false">IF(I62="EUR",H62*Summary!$C$3,H62)</f>
        <v>14.63</v>
      </c>
      <c r="K62" s="25" t="s">
        <v>183</v>
      </c>
      <c r="L62" s="25" t="s">
        <v>236</v>
      </c>
      <c r="M62" s="26" t="s">
        <v>70</v>
      </c>
    </row>
    <row r="63" customFormat="false" ht="15" hidden="false" customHeight="true" outlineLevel="0" collapsed="false">
      <c r="A63" s="25" t="n">
        <v>62</v>
      </c>
      <c r="B63" s="25" t="s">
        <v>24</v>
      </c>
      <c r="C63" s="25" t="s">
        <v>25</v>
      </c>
      <c r="D63" s="25" t="s">
        <v>286</v>
      </c>
      <c r="E63" s="25"/>
      <c r="F63" s="25" t="n">
        <v>1</v>
      </c>
      <c r="G63" s="25" t="s">
        <v>63</v>
      </c>
      <c r="H63" s="43" t="n">
        <v>1.1</v>
      </c>
      <c r="I63" s="25" t="s">
        <v>202</v>
      </c>
      <c r="J63" s="44" t="n">
        <f aca="false">IF(I63="EUR",H63*Summary!$C$3,H63)</f>
        <v>12.1</v>
      </c>
      <c r="K63" s="25" t="s">
        <v>183</v>
      </c>
      <c r="L63" s="25" t="s">
        <v>236</v>
      </c>
      <c r="M63" s="26" t="s">
        <v>70</v>
      </c>
    </row>
    <row r="64" customFormat="false" ht="15" hidden="false" customHeight="true" outlineLevel="0" collapsed="false">
      <c r="A64" s="25" t="n">
        <v>63</v>
      </c>
      <c r="B64" s="25" t="s">
        <v>24</v>
      </c>
      <c r="C64" s="25" t="s">
        <v>25</v>
      </c>
      <c r="D64" s="25" t="s">
        <v>287</v>
      </c>
      <c r="E64" s="25"/>
      <c r="F64" s="25" t="n">
        <v>5</v>
      </c>
      <c r="G64" s="25" t="s">
        <v>63</v>
      </c>
      <c r="H64" s="43" t="n">
        <v>4.8</v>
      </c>
      <c r="I64" s="25" t="s">
        <v>202</v>
      </c>
      <c r="J64" s="44" t="n">
        <f aca="false">IF(I64="EUR",H64*Summary!$C$3,H64)</f>
        <v>52.8</v>
      </c>
      <c r="K64" s="25" t="s">
        <v>183</v>
      </c>
      <c r="L64" s="25" t="s">
        <v>236</v>
      </c>
      <c r="M64" s="26" t="s">
        <v>70</v>
      </c>
    </row>
    <row r="65" customFormat="false" ht="15" hidden="false" customHeight="true" outlineLevel="0" collapsed="false">
      <c r="A65" s="25" t="n">
        <v>64</v>
      </c>
      <c r="B65" s="25" t="s">
        <v>24</v>
      </c>
      <c r="C65" s="25" t="s">
        <v>25</v>
      </c>
      <c r="D65" s="25" t="s">
        <v>288</v>
      </c>
      <c r="E65" s="25"/>
      <c r="F65" s="25" t="n">
        <v>1</v>
      </c>
      <c r="G65" s="25" t="s">
        <v>63</v>
      </c>
      <c r="H65" s="43" t="n">
        <v>0.96</v>
      </c>
      <c r="I65" s="25" t="s">
        <v>202</v>
      </c>
      <c r="J65" s="44" t="n">
        <f aca="false">IF(I65="EUR",H65*Summary!$C$3,H65)</f>
        <v>10.56</v>
      </c>
      <c r="K65" s="25" t="s">
        <v>183</v>
      </c>
      <c r="L65" s="25" t="s">
        <v>236</v>
      </c>
      <c r="M65" s="26" t="s">
        <v>70</v>
      </c>
    </row>
    <row r="66" customFormat="false" ht="15" hidden="false" customHeight="true" outlineLevel="0" collapsed="false">
      <c r="A66" s="25" t="n">
        <v>65</v>
      </c>
      <c r="B66" s="25" t="s">
        <v>24</v>
      </c>
      <c r="C66" s="25" t="s">
        <v>25</v>
      </c>
      <c r="D66" s="25" t="s">
        <v>289</v>
      </c>
      <c r="E66" s="25"/>
      <c r="F66" s="25" t="n">
        <v>1</v>
      </c>
      <c r="G66" s="25" t="s">
        <v>63</v>
      </c>
      <c r="H66" s="43" t="n">
        <v>1.32</v>
      </c>
      <c r="I66" s="25" t="s">
        <v>202</v>
      </c>
      <c r="J66" s="44" t="n">
        <f aca="false">IF(I66="EUR",H66*Summary!$C$3,H66)</f>
        <v>14.52</v>
      </c>
      <c r="K66" s="25" t="s">
        <v>183</v>
      </c>
      <c r="L66" s="25" t="s">
        <v>236</v>
      </c>
      <c r="M66" s="26" t="s">
        <v>70</v>
      </c>
    </row>
    <row r="67" customFormat="false" ht="15" hidden="false" customHeight="true" outlineLevel="0" collapsed="false">
      <c r="A67" s="25" t="n">
        <v>66</v>
      </c>
      <c r="B67" s="25" t="s">
        <v>24</v>
      </c>
      <c r="C67" s="25" t="s">
        <v>25</v>
      </c>
      <c r="D67" s="25" t="s">
        <v>290</v>
      </c>
      <c r="E67" s="25"/>
      <c r="F67" s="25" t="n">
        <v>3</v>
      </c>
      <c r="G67" s="25" t="s">
        <v>63</v>
      </c>
      <c r="H67" s="43" t="n">
        <v>11.25</v>
      </c>
      <c r="I67" s="25" t="s">
        <v>202</v>
      </c>
      <c r="J67" s="44" t="n">
        <f aca="false">IF(I67="EUR",H67*Summary!$C$3,H67)</f>
        <v>123.75</v>
      </c>
      <c r="K67" s="25" t="s">
        <v>183</v>
      </c>
      <c r="L67" s="25" t="s">
        <v>280</v>
      </c>
      <c r="M67" s="26" t="s">
        <v>70</v>
      </c>
    </row>
    <row r="68" customFormat="false" ht="15" hidden="false" customHeight="true" outlineLevel="0" collapsed="false">
      <c r="A68" s="25" t="n">
        <v>67</v>
      </c>
      <c r="B68" s="25" t="s">
        <v>24</v>
      </c>
      <c r="C68" s="25" t="s">
        <v>25</v>
      </c>
      <c r="D68" s="25" t="s">
        <v>291</v>
      </c>
      <c r="E68" s="25" t="s">
        <v>292</v>
      </c>
      <c r="F68" s="25" t="n">
        <v>1</v>
      </c>
      <c r="G68" s="25" t="s">
        <v>56</v>
      </c>
      <c r="H68" s="43" t="n">
        <v>47.19</v>
      </c>
      <c r="I68" s="25" t="s">
        <v>5</v>
      </c>
      <c r="J68" s="44" t="n">
        <f aca="false">IF(I68="EUR",H68*Summary!$C$3,H68)</f>
        <v>47.19</v>
      </c>
      <c r="K68" s="25" t="s">
        <v>198</v>
      </c>
      <c r="L68" s="25" t="s">
        <v>275</v>
      </c>
      <c r="M68" s="26" t="s">
        <v>70</v>
      </c>
    </row>
    <row r="69" customFormat="false" ht="15" hidden="false" customHeight="true" outlineLevel="0" collapsed="false">
      <c r="A69" s="25" t="n">
        <v>68</v>
      </c>
      <c r="B69" s="25" t="s">
        <v>24</v>
      </c>
      <c r="C69" s="25" t="s">
        <v>25</v>
      </c>
      <c r="D69" s="25" t="s">
        <v>291</v>
      </c>
      <c r="E69" s="25" t="s">
        <v>293</v>
      </c>
      <c r="F69" s="25" t="n">
        <v>1</v>
      </c>
      <c r="G69" s="25" t="s">
        <v>56</v>
      </c>
      <c r="H69" s="43" t="n">
        <v>47.38</v>
      </c>
      <c r="I69" s="25" t="s">
        <v>5</v>
      </c>
      <c r="J69" s="44" t="n">
        <f aca="false">IF(I69="EUR",H69*Summary!$C$3,H69)</f>
        <v>47.38</v>
      </c>
      <c r="K69" s="25" t="s">
        <v>198</v>
      </c>
      <c r="L69" s="25" t="s">
        <v>275</v>
      </c>
      <c r="M69" s="26" t="s">
        <v>70</v>
      </c>
    </row>
    <row r="70" customFormat="false" ht="15" hidden="false" customHeight="true" outlineLevel="0" collapsed="false">
      <c r="A70" s="25" t="n">
        <v>69</v>
      </c>
      <c r="B70" s="25" t="s">
        <v>24</v>
      </c>
      <c r="C70" s="25" t="s">
        <v>25</v>
      </c>
      <c r="D70" s="25" t="s">
        <v>291</v>
      </c>
      <c r="E70" s="25" t="s">
        <v>294</v>
      </c>
      <c r="F70" s="25" t="n">
        <v>1</v>
      </c>
      <c r="G70" s="25" t="s">
        <v>56</v>
      </c>
      <c r="H70" s="43" t="n">
        <v>31.26</v>
      </c>
      <c r="I70" s="25" t="s">
        <v>5</v>
      </c>
      <c r="J70" s="44" t="n">
        <f aca="false">IF(I70="EUR",H70*Summary!$C$3,H70)</f>
        <v>31.26</v>
      </c>
      <c r="K70" s="25" t="s">
        <v>198</v>
      </c>
      <c r="L70" s="25" t="s">
        <v>275</v>
      </c>
      <c r="M70" s="26" t="s">
        <v>70</v>
      </c>
    </row>
    <row r="71" customFormat="false" ht="15" hidden="false" customHeight="true" outlineLevel="0" collapsed="false">
      <c r="A71" s="25" t="n">
        <v>70</v>
      </c>
      <c r="B71" s="25" t="s">
        <v>24</v>
      </c>
      <c r="C71" s="25" t="s">
        <v>25</v>
      </c>
      <c r="D71" s="25" t="s">
        <v>291</v>
      </c>
      <c r="E71" s="25" t="s">
        <v>295</v>
      </c>
      <c r="F71" s="25" t="n">
        <v>1</v>
      </c>
      <c r="G71" s="25" t="s">
        <v>56</v>
      </c>
      <c r="H71" s="43" t="n">
        <v>29.49</v>
      </c>
      <c r="I71" s="25" t="s">
        <v>5</v>
      </c>
      <c r="J71" s="44" t="n">
        <f aca="false">IF(I71="EUR",H71*Summary!$C$3,H71)</f>
        <v>29.49</v>
      </c>
      <c r="K71" s="25" t="s">
        <v>198</v>
      </c>
      <c r="L71" s="25" t="s">
        <v>275</v>
      </c>
      <c r="M71" s="26" t="s">
        <v>70</v>
      </c>
    </row>
    <row r="72" customFormat="false" ht="15" hidden="false" customHeight="true" outlineLevel="0" collapsed="false">
      <c r="A72" s="25" t="n">
        <v>71</v>
      </c>
      <c r="B72" s="25" t="s">
        <v>24</v>
      </c>
      <c r="C72" s="25" t="s">
        <v>25</v>
      </c>
      <c r="D72" s="25" t="s">
        <v>296</v>
      </c>
      <c r="E72" s="25"/>
      <c r="F72" s="25" t="n">
        <v>1</v>
      </c>
      <c r="G72" s="25" t="s">
        <v>56</v>
      </c>
      <c r="H72" s="43" t="n">
        <v>42.62</v>
      </c>
      <c r="I72" s="25" t="s">
        <v>5</v>
      </c>
      <c r="J72" s="44" t="n">
        <f aca="false">IF(I72="EUR",H72*Summary!$C$3,H72)</f>
        <v>42.62</v>
      </c>
      <c r="K72" s="25" t="s">
        <v>176</v>
      </c>
      <c r="L72" s="25"/>
      <c r="M72" s="26" t="s">
        <v>70</v>
      </c>
    </row>
    <row r="73" customFormat="false" ht="15" hidden="false" customHeight="true" outlineLevel="0" collapsed="false">
      <c r="A73" s="25" t="n">
        <v>72</v>
      </c>
      <c r="B73" s="25" t="s">
        <v>24</v>
      </c>
      <c r="C73" s="25" t="s">
        <v>25</v>
      </c>
      <c r="D73" s="25" t="s">
        <v>297</v>
      </c>
      <c r="E73" s="25" t="s">
        <v>226</v>
      </c>
      <c r="F73" s="25" t="n">
        <v>1</v>
      </c>
      <c r="G73" s="25" t="s">
        <v>56</v>
      </c>
      <c r="H73" s="43" t="n">
        <v>39.7</v>
      </c>
      <c r="I73" s="25" t="s">
        <v>5</v>
      </c>
      <c r="J73" s="44" t="n">
        <f aca="false">IF(I73="EUR",H73*Summary!$C$3,H73)</f>
        <v>39.7</v>
      </c>
      <c r="K73" s="25" t="s">
        <v>176</v>
      </c>
      <c r="L73" s="25"/>
      <c r="M73" s="26" t="s">
        <v>70</v>
      </c>
    </row>
    <row r="74" customFormat="false" ht="15" hidden="false" customHeight="true" outlineLevel="0" collapsed="false">
      <c r="A74" s="25" t="n">
        <v>73</v>
      </c>
      <c r="B74" s="25" t="s">
        <v>24</v>
      </c>
      <c r="C74" s="25" t="s">
        <v>26</v>
      </c>
      <c r="D74" s="25" t="s">
        <v>298</v>
      </c>
      <c r="E74" s="25" t="s">
        <v>299</v>
      </c>
      <c r="F74" s="25" t="n">
        <v>2</v>
      </c>
      <c r="G74" s="25" t="s">
        <v>56</v>
      </c>
      <c r="H74" s="43" t="n">
        <v>219.65</v>
      </c>
      <c r="I74" s="25" t="s">
        <v>5</v>
      </c>
      <c r="J74" s="44" t="n">
        <f aca="false">IF(I74="EUR",H74*Summary!$C$3,H74)</f>
        <v>219.65</v>
      </c>
      <c r="K74" s="25" t="s">
        <v>198</v>
      </c>
      <c r="L74" s="25"/>
      <c r="M74" s="26" t="s">
        <v>70</v>
      </c>
    </row>
    <row r="75" customFormat="false" ht="15" hidden="false" customHeight="true" outlineLevel="0" collapsed="false">
      <c r="A75" s="25" t="n">
        <v>74</v>
      </c>
      <c r="B75" s="25" t="s">
        <v>24</v>
      </c>
      <c r="C75" s="25" t="s">
        <v>26</v>
      </c>
      <c r="D75" s="25" t="s">
        <v>300</v>
      </c>
      <c r="E75" s="25" t="s">
        <v>301</v>
      </c>
      <c r="F75" s="25" t="n">
        <v>2</v>
      </c>
      <c r="G75" s="25" t="s">
        <v>56</v>
      </c>
      <c r="H75" s="43" t="n">
        <v>5.1</v>
      </c>
      <c r="I75" s="25" t="s">
        <v>202</v>
      </c>
      <c r="J75" s="44" t="n">
        <f aca="false">IF(I75="EUR",H75*Summary!$C$3,H75)</f>
        <v>56.1</v>
      </c>
      <c r="K75" s="25" t="s">
        <v>176</v>
      </c>
      <c r="L75" s="25"/>
      <c r="M75" s="26" t="s">
        <v>70</v>
      </c>
    </row>
    <row r="76" customFormat="false" ht="15" hidden="false" customHeight="true" outlineLevel="0" collapsed="false">
      <c r="A76" s="25" t="n">
        <v>75</v>
      </c>
      <c r="B76" s="25" t="s">
        <v>24</v>
      </c>
      <c r="C76" s="25" t="s">
        <v>26</v>
      </c>
      <c r="D76" s="25" t="s">
        <v>302</v>
      </c>
      <c r="E76" s="25" t="s">
        <v>303</v>
      </c>
      <c r="F76" s="25" t="n">
        <v>1</v>
      </c>
      <c r="G76" s="25" t="s">
        <v>56</v>
      </c>
      <c r="H76" s="43" t="n">
        <v>2.59</v>
      </c>
      <c r="I76" s="25" t="s">
        <v>202</v>
      </c>
      <c r="J76" s="44" t="n">
        <f aca="false">IF(I76="EUR",H76*Summary!$C$3,H76)</f>
        <v>28.49</v>
      </c>
      <c r="K76" s="25" t="s">
        <v>304</v>
      </c>
      <c r="L76" s="25" t="s">
        <v>305</v>
      </c>
      <c r="M76" s="26" t="s">
        <v>70</v>
      </c>
    </row>
    <row r="77" customFormat="false" ht="15" hidden="false" customHeight="true" outlineLevel="0" collapsed="false">
      <c r="A77" s="25" t="n">
        <v>76</v>
      </c>
      <c r="B77" s="25" t="s">
        <v>24</v>
      </c>
      <c r="C77" s="25" t="s">
        <v>26</v>
      </c>
      <c r="D77" s="25" t="s">
        <v>306</v>
      </c>
      <c r="E77" s="25" t="s">
        <v>307</v>
      </c>
      <c r="F77" s="25" t="n">
        <v>1</v>
      </c>
      <c r="G77" s="25" t="s">
        <v>56</v>
      </c>
      <c r="H77" s="43" t="n">
        <v>67.67</v>
      </c>
      <c r="I77" s="25" t="s">
        <v>5</v>
      </c>
      <c r="J77" s="44" t="n">
        <f aca="false">IF(I77="EUR",H77*Summary!$C$3,H77)</f>
        <v>67.67</v>
      </c>
      <c r="K77" s="25" t="s">
        <v>198</v>
      </c>
      <c r="L77" s="25"/>
      <c r="M77" s="26" t="s">
        <v>70</v>
      </c>
    </row>
    <row r="78" customFormat="false" ht="15" hidden="false" customHeight="true" outlineLevel="0" collapsed="false">
      <c r="A78" s="25" t="n">
        <v>77</v>
      </c>
      <c r="B78" s="25" t="s">
        <v>24</v>
      </c>
      <c r="C78" s="25" t="s">
        <v>26</v>
      </c>
      <c r="D78" s="25" t="s">
        <v>308</v>
      </c>
      <c r="E78" s="25" t="s">
        <v>309</v>
      </c>
      <c r="F78" s="25" t="n">
        <v>1</v>
      </c>
      <c r="G78" s="25" t="s">
        <v>56</v>
      </c>
      <c r="H78" s="43" t="n">
        <v>80.1</v>
      </c>
      <c r="I78" s="25" t="s">
        <v>5</v>
      </c>
      <c r="J78" s="44" t="n">
        <f aca="false">IF(I78="EUR",H78*Summary!$C$3,H78)</f>
        <v>80.1</v>
      </c>
      <c r="K78" s="25" t="s">
        <v>198</v>
      </c>
      <c r="L78" s="25"/>
      <c r="M78" s="26" t="s">
        <v>70</v>
      </c>
    </row>
    <row r="79" customFormat="false" ht="15" hidden="false" customHeight="true" outlineLevel="0" collapsed="false">
      <c r="A79" s="25" t="n">
        <v>78</v>
      </c>
      <c r="B79" s="25" t="s">
        <v>24</v>
      </c>
      <c r="C79" s="25" t="s">
        <v>27</v>
      </c>
      <c r="D79" s="25" t="s">
        <v>310</v>
      </c>
      <c r="E79" s="25" t="s">
        <v>311</v>
      </c>
      <c r="F79" s="25" t="n">
        <v>1</v>
      </c>
      <c r="G79" s="25" t="s">
        <v>56</v>
      </c>
      <c r="H79" s="43" t="n">
        <v>53.89</v>
      </c>
      <c r="I79" s="25" t="s">
        <v>5</v>
      </c>
      <c r="J79" s="44" t="n">
        <f aca="false">IF(I79="EUR",H79*Summary!$C$3,H79)</f>
        <v>53.89</v>
      </c>
      <c r="K79" s="25" t="s">
        <v>176</v>
      </c>
      <c r="L79" s="25"/>
      <c r="M79" s="26" t="s">
        <v>70</v>
      </c>
    </row>
    <row r="80" customFormat="false" ht="15" hidden="false" customHeight="true" outlineLevel="0" collapsed="false">
      <c r="A80" s="25" t="n">
        <v>79</v>
      </c>
      <c r="B80" s="25" t="s">
        <v>28</v>
      </c>
      <c r="C80" s="25" t="s">
        <v>29</v>
      </c>
      <c r="D80" s="25" t="s">
        <v>312</v>
      </c>
      <c r="E80" s="25" t="s">
        <v>313</v>
      </c>
      <c r="F80" s="25" t="n">
        <v>1</v>
      </c>
      <c r="G80" s="25" t="s">
        <v>56</v>
      </c>
      <c r="H80" s="43" t="n">
        <v>17.61</v>
      </c>
      <c r="I80" s="25" t="s">
        <v>202</v>
      </c>
      <c r="J80" s="44" t="n">
        <f aca="false">IF(I80="EUR",H80*Summary!$C$3,H80)</f>
        <v>193.71</v>
      </c>
      <c r="K80" s="25" t="s">
        <v>176</v>
      </c>
      <c r="L80" s="25" t="s">
        <v>275</v>
      </c>
      <c r="M80" s="26" t="s">
        <v>71</v>
      </c>
    </row>
    <row r="81" customFormat="false" ht="15" hidden="false" customHeight="true" outlineLevel="0" collapsed="false">
      <c r="A81" s="25" t="n">
        <v>80</v>
      </c>
      <c r="B81" s="25" t="s">
        <v>28</v>
      </c>
      <c r="C81" s="25" t="s">
        <v>29</v>
      </c>
      <c r="D81" s="25" t="s">
        <v>314</v>
      </c>
      <c r="E81" s="25" t="s">
        <v>315</v>
      </c>
      <c r="F81" s="25" t="n">
        <v>1</v>
      </c>
      <c r="G81" s="25" t="s">
        <v>56</v>
      </c>
      <c r="H81" s="43" t="n">
        <v>2.39</v>
      </c>
      <c r="I81" s="25" t="s">
        <v>202</v>
      </c>
      <c r="J81" s="44" t="n">
        <f aca="false">IF(I81="EUR",H81*Summary!$C$3,H81)</f>
        <v>26.29</v>
      </c>
      <c r="K81" s="25" t="s">
        <v>176</v>
      </c>
      <c r="L81" s="25" t="s">
        <v>275</v>
      </c>
      <c r="M81" s="26" t="s">
        <v>71</v>
      </c>
    </row>
    <row r="82" customFormat="false" ht="15" hidden="false" customHeight="true" outlineLevel="0" collapsed="false">
      <c r="A82" s="25" t="n">
        <v>81</v>
      </c>
      <c r="B82" s="25" t="s">
        <v>28</v>
      </c>
      <c r="C82" s="25" t="s">
        <v>29</v>
      </c>
      <c r="D82" s="25" t="s">
        <v>314</v>
      </c>
      <c r="E82" s="25" t="s">
        <v>316</v>
      </c>
      <c r="F82" s="25" t="n">
        <v>1</v>
      </c>
      <c r="G82" s="25" t="s">
        <v>56</v>
      </c>
      <c r="H82" s="43" t="n">
        <v>27.21</v>
      </c>
      <c r="I82" s="25" t="s">
        <v>5</v>
      </c>
      <c r="J82" s="44" t="n">
        <f aca="false">IF(I82="EUR",H82*Summary!$C$3,H82)</f>
        <v>27.21</v>
      </c>
      <c r="K82" s="25" t="s">
        <v>198</v>
      </c>
      <c r="L82" s="25"/>
      <c r="M82" s="26" t="s">
        <v>71</v>
      </c>
    </row>
    <row r="83" customFormat="false" ht="15" hidden="false" customHeight="true" outlineLevel="0" collapsed="false">
      <c r="A83" s="25" t="n">
        <v>82</v>
      </c>
      <c r="B83" s="25" t="s">
        <v>28</v>
      </c>
      <c r="C83" s="25" t="s">
        <v>29</v>
      </c>
      <c r="D83" s="25" t="s">
        <v>317</v>
      </c>
      <c r="E83" s="25" t="s">
        <v>318</v>
      </c>
      <c r="F83" s="25" t="n">
        <v>2</v>
      </c>
      <c r="G83" s="25" t="s">
        <v>56</v>
      </c>
      <c r="H83" s="43" t="n">
        <v>65.87</v>
      </c>
      <c r="I83" s="25" t="s">
        <v>5</v>
      </c>
      <c r="J83" s="44" t="n">
        <f aca="false">IF(I83="EUR",H83*Summary!$C$3,H83)</f>
        <v>65.87</v>
      </c>
      <c r="K83" s="25" t="s">
        <v>198</v>
      </c>
      <c r="L83" s="25"/>
      <c r="M83" s="26" t="s">
        <v>71</v>
      </c>
    </row>
    <row r="84" customFormat="false" ht="15" hidden="false" customHeight="true" outlineLevel="0" collapsed="false">
      <c r="A84" s="25" t="n">
        <v>83</v>
      </c>
      <c r="B84" s="25" t="s">
        <v>28</v>
      </c>
      <c r="C84" s="25" t="s">
        <v>29</v>
      </c>
      <c r="D84" s="25" t="s">
        <v>319</v>
      </c>
      <c r="E84" s="25" t="s">
        <v>318</v>
      </c>
      <c r="F84" s="25" t="n">
        <v>3</v>
      </c>
      <c r="G84" s="25" t="s">
        <v>56</v>
      </c>
      <c r="H84" s="43" t="n">
        <v>6.15</v>
      </c>
      <c r="I84" s="25" t="s">
        <v>202</v>
      </c>
      <c r="J84" s="44" t="n">
        <f aca="false">IF(I84="EUR",H84*Summary!$C$3,H84)</f>
        <v>67.65</v>
      </c>
      <c r="K84" s="25" t="s">
        <v>176</v>
      </c>
      <c r="L84" s="25"/>
      <c r="M84" s="26" t="s">
        <v>71</v>
      </c>
    </row>
    <row r="85" customFormat="false" ht="15" hidden="false" customHeight="true" outlineLevel="0" collapsed="false">
      <c r="A85" s="25" t="n">
        <v>84</v>
      </c>
      <c r="B85" s="25" t="s">
        <v>28</v>
      </c>
      <c r="C85" s="25" t="s">
        <v>30</v>
      </c>
      <c r="D85" s="25" t="s">
        <v>320</v>
      </c>
      <c r="E85" s="25" t="s">
        <v>321</v>
      </c>
      <c r="F85" s="25" t="n">
        <v>1</v>
      </c>
      <c r="G85" s="25" t="s">
        <v>56</v>
      </c>
      <c r="H85" s="43" t="n">
        <v>56.37</v>
      </c>
      <c r="I85" s="25" t="s">
        <v>5</v>
      </c>
      <c r="J85" s="44" t="n">
        <f aca="false">IF(I85="EUR",H85*Summary!$C$3,H85)</f>
        <v>56.37</v>
      </c>
      <c r="K85" s="25" t="s">
        <v>176</v>
      </c>
      <c r="L85" s="25"/>
      <c r="M85" s="26" t="s">
        <v>71</v>
      </c>
    </row>
    <row r="86" customFormat="false" ht="15" hidden="false" customHeight="true" outlineLevel="0" collapsed="false">
      <c r="A86" s="25" t="n">
        <v>85</v>
      </c>
      <c r="B86" s="25" t="s">
        <v>28</v>
      </c>
      <c r="C86" s="25" t="s">
        <v>30</v>
      </c>
      <c r="D86" s="25" t="s">
        <v>322</v>
      </c>
      <c r="E86" s="25" t="s">
        <v>272</v>
      </c>
      <c r="F86" s="25" t="n">
        <v>1</v>
      </c>
      <c r="G86" s="25" t="s">
        <v>56</v>
      </c>
      <c r="H86" s="43" t="n">
        <v>45.9</v>
      </c>
      <c r="I86" s="25" t="s">
        <v>5</v>
      </c>
      <c r="J86" s="44" t="n">
        <f aca="false">IF(I86="EUR",H86*Summary!$C$3,H86)</f>
        <v>45.9</v>
      </c>
      <c r="K86" s="25" t="s">
        <v>198</v>
      </c>
      <c r="L86" s="25"/>
      <c r="M86" s="26" t="s">
        <v>71</v>
      </c>
    </row>
    <row r="87" customFormat="false" ht="15" hidden="false" customHeight="true" outlineLevel="0" collapsed="false">
      <c r="A87" s="25" t="n">
        <v>86</v>
      </c>
      <c r="B87" s="25" t="s">
        <v>28</v>
      </c>
      <c r="C87" s="25" t="s">
        <v>30</v>
      </c>
      <c r="D87" s="25" t="s">
        <v>323</v>
      </c>
      <c r="E87" s="25" t="s">
        <v>324</v>
      </c>
      <c r="F87" s="25" t="n">
        <v>1</v>
      </c>
      <c r="G87" s="25" t="s">
        <v>56</v>
      </c>
      <c r="H87" s="43" t="n">
        <v>16.18</v>
      </c>
      <c r="I87" s="25" t="s">
        <v>5</v>
      </c>
      <c r="J87" s="44" t="n">
        <f aca="false">IF(I87="EUR",H87*Summary!$C$3,H87)</f>
        <v>16.18</v>
      </c>
      <c r="K87" s="25" t="s">
        <v>198</v>
      </c>
      <c r="L87" s="25"/>
      <c r="M87" s="26" t="s">
        <v>71</v>
      </c>
    </row>
    <row r="88" customFormat="false" ht="15" hidden="false" customHeight="true" outlineLevel="0" collapsed="false">
      <c r="A88" s="25" t="n">
        <v>87</v>
      </c>
      <c r="B88" s="25" t="s">
        <v>28</v>
      </c>
      <c r="C88" s="25" t="s">
        <v>30</v>
      </c>
      <c r="D88" s="25" t="s">
        <v>325</v>
      </c>
      <c r="E88" s="25" t="s">
        <v>272</v>
      </c>
      <c r="F88" s="25" t="n">
        <v>1</v>
      </c>
      <c r="G88" s="25" t="s">
        <v>56</v>
      </c>
      <c r="H88" s="43" t="n">
        <v>23.92</v>
      </c>
      <c r="I88" s="25" t="s">
        <v>5</v>
      </c>
      <c r="J88" s="44" t="n">
        <f aca="false">IF(I88="EUR",H88*Summary!$C$3,H88)</f>
        <v>23.92</v>
      </c>
      <c r="K88" s="25" t="s">
        <v>176</v>
      </c>
      <c r="L88" s="25"/>
      <c r="M88" s="26" t="s">
        <v>71</v>
      </c>
    </row>
    <row r="89" customFormat="false" ht="15" hidden="false" customHeight="true" outlineLevel="0" collapsed="false">
      <c r="A89" s="25" t="n">
        <v>88</v>
      </c>
      <c r="B89" s="25" t="s">
        <v>28</v>
      </c>
      <c r="C89" s="25" t="s">
        <v>30</v>
      </c>
      <c r="D89" s="25" t="s">
        <v>326</v>
      </c>
      <c r="E89" s="25" t="s">
        <v>327</v>
      </c>
      <c r="F89" s="25" t="n">
        <v>1</v>
      </c>
      <c r="G89" s="25" t="s">
        <v>56</v>
      </c>
      <c r="H89" s="43" t="n">
        <v>4.4</v>
      </c>
      <c r="I89" s="25" t="s">
        <v>202</v>
      </c>
      <c r="J89" s="44" t="n">
        <f aca="false">IF(I89="EUR",H89*Summary!$C$3,H89)</f>
        <v>48.4</v>
      </c>
      <c r="K89" s="25" t="s">
        <v>176</v>
      </c>
      <c r="L89" s="25"/>
      <c r="M89" s="26" t="s">
        <v>71</v>
      </c>
    </row>
    <row r="90" customFormat="false" ht="15" hidden="false" customHeight="true" outlineLevel="0" collapsed="false">
      <c r="A90" s="25" t="n">
        <v>89</v>
      </c>
      <c r="B90" s="25" t="s">
        <v>28</v>
      </c>
      <c r="C90" s="25" t="s">
        <v>31</v>
      </c>
      <c r="D90" s="25" t="s">
        <v>328</v>
      </c>
      <c r="E90" s="25" t="s">
        <v>329</v>
      </c>
      <c r="F90" s="25" t="n">
        <v>1</v>
      </c>
      <c r="G90" s="25" t="s">
        <v>56</v>
      </c>
      <c r="H90" s="43" t="n">
        <v>23.95</v>
      </c>
      <c r="I90" s="25" t="s">
        <v>5</v>
      </c>
      <c r="J90" s="44" t="n">
        <f aca="false">IF(I90="EUR",H90*Summary!$C$3,H90)</f>
        <v>23.95</v>
      </c>
      <c r="K90" s="25" t="s">
        <v>198</v>
      </c>
      <c r="L90" s="25"/>
      <c r="M90" s="26" t="s">
        <v>71</v>
      </c>
    </row>
    <row r="91" customFormat="false" ht="15" hidden="false" customHeight="true" outlineLevel="0" collapsed="false">
      <c r="A91" s="25" t="n">
        <v>90</v>
      </c>
      <c r="B91" s="25" t="s">
        <v>28</v>
      </c>
      <c r="C91" s="25" t="s">
        <v>31</v>
      </c>
      <c r="D91" s="25" t="s">
        <v>328</v>
      </c>
      <c r="E91" s="25" t="s">
        <v>330</v>
      </c>
      <c r="F91" s="25" t="n">
        <v>1</v>
      </c>
      <c r="G91" s="25" t="s">
        <v>56</v>
      </c>
      <c r="H91" s="43" t="n">
        <v>22.74</v>
      </c>
      <c r="I91" s="25" t="s">
        <v>5</v>
      </c>
      <c r="J91" s="44" t="n">
        <f aca="false">IF(I91="EUR",H91*Summary!$C$3,H91)</f>
        <v>22.74</v>
      </c>
      <c r="K91" s="25" t="s">
        <v>198</v>
      </c>
      <c r="L91" s="25"/>
      <c r="M91" s="26" t="s">
        <v>71</v>
      </c>
    </row>
    <row r="92" customFormat="false" ht="15" hidden="false" customHeight="true" outlineLevel="0" collapsed="false">
      <c r="A92" s="25" t="n">
        <v>91</v>
      </c>
      <c r="B92" s="25" t="s">
        <v>28</v>
      </c>
      <c r="C92" s="25" t="s">
        <v>31</v>
      </c>
      <c r="D92" s="25" t="s">
        <v>331</v>
      </c>
      <c r="E92" s="25" t="s">
        <v>332</v>
      </c>
      <c r="F92" s="25" t="n">
        <v>1</v>
      </c>
      <c r="G92" s="25" t="s">
        <v>56</v>
      </c>
      <c r="H92" s="43" t="n">
        <v>24.87</v>
      </c>
      <c r="I92" s="25" t="s">
        <v>5</v>
      </c>
      <c r="J92" s="44" t="n">
        <f aca="false">IF(I92="EUR",H92*Summary!$C$3,H92)</f>
        <v>24.87</v>
      </c>
      <c r="K92" s="25" t="s">
        <v>176</v>
      </c>
      <c r="L92" s="25"/>
      <c r="M92" s="26" t="s">
        <v>71</v>
      </c>
    </row>
    <row r="93" customFormat="false" ht="15" hidden="false" customHeight="true" outlineLevel="0" collapsed="false">
      <c r="A93" s="25" t="n">
        <v>92</v>
      </c>
      <c r="B93" s="25" t="s">
        <v>28</v>
      </c>
      <c r="C93" s="25" t="s">
        <v>32</v>
      </c>
      <c r="D93" s="25" t="s">
        <v>333</v>
      </c>
      <c r="E93" s="25" t="s">
        <v>334</v>
      </c>
      <c r="F93" s="25" t="n">
        <v>1</v>
      </c>
      <c r="G93" s="25" t="s">
        <v>56</v>
      </c>
      <c r="H93" s="43" t="n">
        <v>46.66</v>
      </c>
      <c r="I93" s="25" t="s">
        <v>5</v>
      </c>
      <c r="J93" s="44" t="n">
        <f aca="false">IF(I93="EUR",H93*Summary!$C$3,H93)</f>
        <v>46.66</v>
      </c>
      <c r="K93" s="25" t="s">
        <v>176</v>
      </c>
      <c r="L93" s="25"/>
      <c r="M93" s="26" t="s">
        <v>71</v>
      </c>
    </row>
    <row r="94" customFormat="false" ht="15" hidden="false" customHeight="true" outlineLevel="0" collapsed="false">
      <c r="A94" s="25" t="n">
        <v>93</v>
      </c>
      <c r="B94" s="25" t="s">
        <v>28</v>
      </c>
      <c r="C94" s="25" t="s">
        <v>32</v>
      </c>
      <c r="D94" s="25" t="s">
        <v>333</v>
      </c>
      <c r="E94" s="25" t="s">
        <v>335</v>
      </c>
      <c r="F94" s="25" t="n">
        <v>1</v>
      </c>
      <c r="G94" s="25" t="s">
        <v>56</v>
      </c>
      <c r="H94" s="43" t="n">
        <v>46.56</v>
      </c>
      <c r="I94" s="25" t="s">
        <v>5</v>
      </c>
      <c r="J94" s="44" t="n">
        <f aca="false">IF(I94="EUR",H94*Summary!$C$3,H94)</f>
        <v>46.56</v>
      </c>
      <c r="K94" s="25" t="s">
        <v>176</v>
      </c>
      <c r="L94" s="25"/>
      <c r="M94" s="26" t="s">
        <v>71</v>
      </c>
    </row>
    <row r="95" customFormat="false" ht="15" hidden="false" customHeight="true" outlineLevel="0" collapsed="false">
      <c r="A95" s="25" t="n">
        <v>94</v>
      </c>
      <c r="B95" s="25" t="s">
        <v>28</v>
      </c>
      <c r="C95" s="25" t="s">
        <v>32</v>
      </c>
      <c r="D95" s="25" t="s">
        <v>336</v>
      </c>
      <c r="E95" s="25" t="s">
        <v>337</v>
      </c>
      <c r="F95" s="25" t="n">
        <v>1</v>
      </c>
      <c r="G95" s="25" t="s">
        <v>56</v>
      </c>
      <c r="H95" s="43" t="n">
        <v>1.84</v>
      </c>
      <c r="I95" s="25" t="s">
        <v>202</v>
      </c>
      <c r="J95" s="44" t="n">
        <f aca="false">IF(I95="EUR",H95*Summary!$C$3,H95)</f>
        <v>20.24</v>
      </c>
      <c r="K95" s="25" t="s">
        <v>176</v>
      </c>
      <c r="L95" s="25"/>
      <c r="M95" s="26" t="s">
        <v>71</v>
      </c>
    </row>
    <row r="96" customFormat="false" ht="15" hidden="false" customHeight="true" outlineLevel="0" collapsed="false">
      <c r="A96" s="25" t="n">
        <v>95</v>
      </c>
      <c r="B96" s="25" t="s">
        <v>28</v>
      </c>
      <c r="C96" s="25" t="s">
        <v>32</v>
      </c>
      <c r="D96" s="25" t="s">
        <v>336</v>
      </c>
      <c r="E96" s="25" t="s">
        <v>338</v>
      </c>
      <c r="F96" s="25" t="n">
        <v>1</v>
      </c>
      <c r="G96" s="25" t="s">
        <v>56</v>
      </c>
      <c r="H96" s="43" t="n">
        <v>1.82</v>
      </c>
      <c r="I96" s="25" t="s">
        <v>202</v>
      </c>
      <c r="J96" s="44" t="n">
        <f aca="false">IF(I96="EUR",H96*Summary!$C$3,H96)</f>
        <v>20.02</v>
      </c>
      <c r="K96" s="25" t="s">
        <v>176</v>
      </c>
      <c r="L96" s="25" t="s">
        <v>275</v>
      </c>
      <c r="M96" s="26" t="s">
        <v>71</v>
      </c>
    </row>
    <row r="97" customFormat="false" ht="15" hidden="false" customHeight="true" outlineLevel="0" collapsed="false">
      <c r="A97" s="25" t="n">
        <v>96</v>
      </c>
      <c r="B97" s="25" t="s">
        <v>28</v>
      </c>
      <c r="C97" s="25" t="s">
        <v>32</v>
      </c>
      <c r="D97" s="25" t="s">
        <v>336</v>
      </c>
      <c r="E97" s="25" t="s">
        <v>339</v>
      </c>
      <c r="F97" s="25" t="n">
        <v>1</v>
      </c>
      <c r="G97" s="25" t="s">
        <v>56</v>
      </c>
      <c r="H97" s="43" t="n">
        <v>1.84</v>
      </c>
      <c r="I97" s="25" t="s">
        <v>202</v>
      </c>
      <c r="J97" s="44" t="n">
        <f aca="false">IF(I97="EUR",H97*Summary!$C$3,H97)</f>
        <v>20.24</v>
      </c>
      <c r="K97" s="25" t="s">
        <v>176</v>
      </c>
      <c r="L97" s="25" t="s">
        <v>275</v>
      </c>
      <c r="M97" s="26" t="s">
        <v>71</v>
      </c>
    </row>
    <row r="98" customFormat="false" ht="15" hidden="false" customHeight="true" outlineLevel="0" collapsed="false">
      <c r="A98" s="25" t="n">
        <v>97</v>
      </c>
      <c r="B98" s="25" t="s">
        <v>28</v>
      </c>
      <c r="C98" s="25" t="s">
        <v>32</v>
      </c>
      <c r="D98" s="25" t="s">
        <v>340</v>
      </c>
      <c r="E98" s="25" t="s">
        <v>341</v>
      </c>
      <c r="F98" s="25" t="n">
        <v>1</v>
      </c>
      <c r="G98" s="25" t="s">
        <v>56</v>
      </c>
      <c r="H98" s="43" t="n">
        <v>23.35</v>
      </c>
      <c r="I98" s="25" t="s">
        <v>5</v>
      </c>
      <c r="J98" s="44" t="n">
        <f aca="false">IF(I98="EUR",H98*Summary!$C$3,H98)</f>
        <v>23.35</v>
      </c>
      <c r="K98" s="25" t="s">
        <v>198</v>
      </c>
      <c r="L98" s="25"/>
      <c r="M98" s="26" t="s">
        <v>71</v>
      </c>
    </row>
    <row r="99" customFormat="false" ht="15" hidden="false" customHeight="true" outlineLevel="0" collapsed="false">
      <c r="A99" s="25" t="n">
        <v>98</v>
      </c>
      <c r="B99" s="25" t="s">
        <v>28</v>
      </c>
      <c r="C99" s="25" t="s">
        <v>32</v>
      </c>
      <c r="D99" s="25" t="s">
        <v>342</v>
      </c>
      <c r="E99" s="25" t="s">
        <v>343</v>
      </c>
      <c r="F99" s="25" t="n">
        <v>1</v>
      </c>
      <c r="G99" s="25" t="s">
        <v>56</v>
      </c>
      <c r="H99" s="43" t="n">
        <v>21.28</v>
      </c>
      <c r="I99" s="25" t="s">
        <v>5</v>
      </c>
      <c r="J99" s="44" t="n">
        <f aca="false">IF(I99="EUR",H99*Summary!$C$3,H99)</f>
        <v>21.28</v>
      </c>
      <c r="K99" s="25" t="s">
        <v>176</v>
      </c>
      <c r="L99" s="25"/>
      <c r="M99" s="26" t="s">
        <v>71</v>
      </c>
    </row>
    <row r="100" customFormat="false" ht="15" hidden="false" customHeight="true" outlineLevel="0" collapsed="false">
      <c r="A100" s="25" t="n">
        <v>99</v>
      </c>
      <c r="B100" s="25" t="s">
        <v>28</v>
      </c>
      <c r="C100" s="25" t="s">
        <v>32</v>
      </c>
      <c r="D100" s="25" t="s">
        <v>344</v>
      </c>
      <c r="E100" s="25" t="s">
        <v>343</v>
      </c>
      <c r="F100" s="25" t="n">
        <v>1</v>
      </c>
      <c r="G100" s="25" t="s">
        <v>56</v>
      </c>
      <c r="H100" s="43" t="n">
        <v>2.18</v>
      </c>
      <c r="I100" s="25" t="s">
        <v>202</v>
      </c>
      <c r="J100" s="44" t="n">
        <f aca="false">IF(I100="EUR",H100*Summary!$C$3,H100)</f>
        <v>23.98</v>
      </c>
      <c r="K100" s="25" t="s">
        <v>176</v>
      </c>
      <c r="L100" s="25"/>
      <c r="M100" s="26" t="s">
        <v>71</v>
      </c>
    </row>
    <row r="101" customFormat="false" ht="15" hidden="false" customHeight="true" outlineLevel="0" collapsed="false">
      <c r="A101" s="25" t="n">
        <v>100</v>
      </c>
      <c r="B101" s="25" t="s">
        <v>28</v>
      </c>
      <c r="C101" s="25" t="s">
        <v>32</v>
      </c>
      <c r="D101" s="25" t="s">
        <v>345</v>
      </c>
      <c r="E101" s="25" t="s">
        <v>346</v>
      </c>
      <c r="F101" s="25" t="n">
        <v>1</v>
      </c>
      <c r="G101" s="25" t="s">
        <v>56</v>
      </c>
      <c r="H101" s="43" t="n">
        <v>19.8</v>
      </c>
      <c r="I101" s="25" t="s">
        <v>5</v>
      </c>
      <c r="J101" s="44" t="n">
        <f aca="false">IF(I101="EUR",H101*Summary!$C$3,H101)</f>
        <v>19.8</v>
      </c>
      <c r="K101" s="25" t="s">
        <v>176</v>
      </c>
      <c r="L101" s="25"/>
      <c r="M101" s="26" t="s">
        <v>71</v>
      </c>
    </row>
    <row r="102" customFormat="false" ht="15" hidden="false" customHeight="true" outlineLevel="0" collapsed="false">
      <c r="A102" s="25" t="n">
        <v>101</v>
      </c>
      <c r="B102" s="25" t="s">
        <v>28</v>
      </c>
      <c r="C102" s="25" t="s">
        <v>32</v>
      </c>
      <c r="D102" s="25" t="s">
        <v>347</v>
      </c>
      <c r="E102" s="25" t="s">
        <v>348</v>
      </c>
      <c r="F102" s="25" t="n">
        <v>1</v>
      </c>
      <c r="G102" s="25" t="s">
        <v>56</v>
      </c>
      <c r="H102" s="43" t="n">
        <v>18.46</v>
      </c>
      <c r="I102" s="25" t="s">
        <v>5</v>
      </c>
      <c r="J102" s="44" t="n">
        <f aca="false">IF(I102="EUR",H102*Summary!$C$3,H102)</f>
        <v>18.46</v>
      </c>
      <c r="K102" s="25" t="s">
        <v>198</v>
      </c>
      <c r="L102" s="25"/>
      <c r="M102" s="26" t="s">
        <v>71</v>
      </c>
    </row>
    <row r="103" customFormat="false" ht="15" hidden="false" customHeight="true" outlineLevel="0" collapsed="false">
      <c r="A103" s="25" t="n">
        <v>102</v>
      </c>
      <c r="B103" s="25" t="s">
        <v>28</v>
      </c>
      <c r="C103" s="25" t="s">
        <v>32</v>
      </c>
      <c r="D103" s="25" t="s">
        <v>349</v>
      </c>
      <c r="E103" s="25" t="s">
        <v>350</v>
      </c>
      <c r="F103" s="25" t="n">
        <v>1</v>
      </c>
      <c r="G103" s="25" t="s">
        <v>56</v>
      </c>
      <c r="H103" s="43" t="n">
        <v>76.14</v>
      </c>
      <c r="I103" s="25" t="s">
        <v>5</v>
      </c>
      <c r="J103" s="44" t="n">
        <f aca="false">IF(I103="EUR",H103*Summary!$C$3,H103)</f>
        <v>76.14</v>
      </c>
      <c r="K103" s="25" t="s">
        <v>176</v>
      </c>
      <c r="L103" s="25"/>
      <c r="M103" s="26" t="s">
        <v>71</v>
      </c>
    </row>
    <row r="104" customFormat="false" ht="15" hidden="false" customHeight="true" outlineLevel="0" collapsed="false">
      <c r="A104" s="25" t="n">
        <v>103</v>
      </c>
      <c r="B104" s="25" t="s">
        <v>28</v>
      </c>
      <c r="C104" s="25" t="s">
        <v>33</v>
      </c>
      <c r="D104" s="25" t="s">
        <v>351</v>
      </c>
      <c r="E104" s="25" t="s">
        <v>352</v>
      </c>
      <c r="F104" s="25" t="n">
        <v>1</v>
      </c>
      <c r="G104" s="25" t="s">
        <v>56</v>
      </c>
      <c r="H104" s="43" t="n">
        <v>21.2</v>
      </c>
      <c r="I104" s="25" t="s">
        <v>5</v>
      </c>
      <c r="J104" s="44" t="n">
        <f aca="false">IF(I104="EUR",H104*Summary!$C$3,H104)</f>
        <v>21.2</v>
      </c>
      <c r="K104" s="25" t="s">
        <v>176</v>
      </c>
      <c r="L104" s="25"/>
      <c r="M104" s="26" t="s">
        <v>71</v>
      </c>
    </row>
    <row r="105" customFormat="false" ht="15" hidden="false" customHeight="true" outlineLevel="0" collapsed="false">
      <c r="A105" s="25" t="n">
        <v>104</v>
      </c>
      <c r="B105" s="25" t="s">
        <v>28</v>
      </c>
      <c r="C105" s="25" t="s">
        <v>33</v>
      </c>
      <c r="D105" s="25" t="s">
        <v>351</v>
      </c>
      <c r="E105" s="25" t="s">
        <v>353</v>
      </c>
      <c r="F105" s="25" t="n">
        <v>1</v>
      </c>
      <c r="G105" s="25" t="s">
        <v>56</v>
      </c>
      <c r="H105" s="43" t="n">
        <v>21.42</v>
      </c>
      <c r="I105" s="25" t="s">
        <v>5</v>
      </c>
      <c r="J105" s="44" t="n">
        <f aca="false">IF(I105="EUR",H105*Summary!$C$3,H105)</f>
        <v>21.42</v>
      </c>
      <c r="K105" s="25" t="s">
        <v>176</v>
      </c>
      <c r="L105" s="25" t="s">
        <v>275</v>
      </c>
      <c r="M105" s="26" t="s">
        <v>71</v>
      </c>
    </row>
    <row r="106" customFormat="false" ht="15" hidden="false" customHeight="true" outlineLevel="0" collapsed="false">
      <c r="A106" s="25" t="n">
        <v>105</v>
      </c>
      <c r="B106" s="25" t="s">
        <v>28</v>
      </c>
      <c r="C106" s="25" t="s">
        <v>33</v>
      </c>
      <c r="D106" s="25" t="s">
        <v>351</v>
      </c>
      <c r="E106" s="25" t="s">
        <v>354</v>
      </c>
      <c r="F106" s="25" t="n">
        <v>1</v>
      </c>
      <c r="G106" s="25" t="s">
        <v>56</v>
      </c>
      <c r="H106" s="43" t="n">
        <v>21.42</v>
      </c>
      <c r="I106" s="25" t="s">
        <v>5</v>
      </c>
      <c r="J106" s="44" t="n">
        <f aca="false">IF(I106="EUR",H106*Summary!$C$3,H106)</f>
        <v>21.42</v>
      </c>
      <c r="K106" s="25" t="s">
        <v>176</v>
      </c>
      <c r="L106" s="25" t="s">
        <v>275</v>
      </c>
      <c r="M106" s="26" t="s">
        <v>71</v>
      </c>
    </row>
    <row r="107" customFormat="false" ht="15" hidden="false" customHeight="true" outlineLevel="0" collapsed="false">
      <c r="A107" s="25" t="n">
        <v>106</v>
      </c>
      <c r="B107" s="25" t="s">
        <v>28</v>
      </c>
      <c r="C107" s="25" t="s">
        <v>33</v>
      </c>
      <c r="D107" s="25" t="s">
        <v>351</v>
      </c>
      <c r="E107" s="25" t="s">
        <v>355</v>
      </c>
      <c r="F107" s="25" t="n">
        <v>1</v>
      </c>
      <c r="G107" s="25" t="s">
        <v>56</v>
      </c>
      <c r="H107" s="43" t="n">
        <v>21.16</v>
      </c>
      <c r="I107" s="25" t="s">
        <v>5</v>
      </c>
      <c r="J107" s="44" t="n">
        <f aca="false">IF(I107="EUR",H107*Summary!$C$3,H107)</f>
        <v>21.16</v>
      </c>
      <c r="K107" s="25" t="s">
        <v>176</v>
      </c>
      <c r="L107" s="25" t="s">
        <v>275</v>
      </c>
      <c r="M107" s="26" t="s">
        <v>71</v>
      </c>
    </row>
    <row r="108" customFormat="false" ht="15" hidden="false" customHeight="true" outlineLevel="0" collapsed="false">
      <c r="A108" s="25" t="n">
        <v>107</v>
      </c>
      <c r="B108" s="25" t="s">
        <v>28</v>
      </c>
      <c r="C108" s="25" t="s">
        <v>33</v>
      </c>
      <c r="D108" s="25" t="s">
        <v>356</v>
      </c>
      <c r="E108" s="25" t="s">
        <v>272</v>
      </c>
      <c r="F108" s="25" t="n">
        <v>2</v>
      </c>
      <c r="G108" s="25" t="s">
        <v>56</v>
      </c>
      <c r="H108" s="43" t="n">
        <v>43.28</v>
      </c>
      <c r="I108" s="25" t="s">
        <v>5</v>
      </c>
      <c r="J108" s="44" t="n">
        <f aca="false">IF(I108="EUR",H108*Summary!$C$3,H108)</f>
        <v>43.28</v>
      </c>
      <c r="K108" s="25" t="s">
        <v>176</v>
      </c>
      <c r="L108" s="25"/>
      <c r="M108" s="26" t="s">
        <v>71</v>
      </c>
    </row>
    <row r="109" customFormat="false" ht="15" hidden="false" customHeight="true" outlineLevel="0" collapsed="false">
      <c r="A109" s="25" t="n">
        <v>108</v>
      </c>
      <c r="B109" s="25" t="s">
        <v>28</v>
      </c>
      <c r="C109" s="25" t="s">
        <v>33</v>
      </c>
      <c r="D109" s="25" t="s">
        <v>357</v>
      </c>
      <c r="E109" s="25" t="s">
        <v>358</v>
      </c>
      <c r="F109" s="25" t="n">
        <v>1</v>
      </c>
      <c r="G109" s="25" t="s">
        <v>56</v>
      </c>
      <c r="H109" s="43" t="n">
        <v>5.59</v>
      </c>
      <c r="I109" s="25" t="s">
        <v>202</v>
      </c>
      <c r="J109" s="44" t="n">
        <f aca="false">IF(I109="EUR",H109*Summary!$C$3,H109)</f>
        <v>61.49</v>
      </c>
      <c r="K109" s="25" t="s">
        <v>176</v>
      </c>
      <c r="L109" s="25"/>
      <c r="M109" s="26" t="s">
        <v>71</v>
      </c>
    </row>
    <row r="110" customFormat="false" ht="15" hidden="false" customHeight="true" outlineLevel="0" collapsed="false">
      <c r="A110" s="25" t="n">
        <v>109</v>
      </c>
      <c r="B110" s="25" t="s">
        <v>28</v>
      </c>
      <c r="C110" s="25" t="s">
        <v>34</v>
      </c>
      <c r="D110" s="25" t="s">
        <v>359</v>
      </c>
      <c r="E110" s="25" t="s">
        <v>360</v>
      </c>
      <c r="F110" s="25" t="n">
        <v>2</v>
      </c>
      <c r="G110" s="25" t="s">
        <v>56</v>
      </c>
      <c r="H110" s="43" t="n">
        <v>4.98</v>
      </c>
      <c r="I110" s="25" t="s">
        <v>202</v>
      </c>
      <c r="J110" s="44" t="n">
        <f aca="false">IF(I110="EUR",H110*Summary!$C$3,H110)</f>
        <v>54.78</v>
      </c>
      <c r="K110" s="25" t="s">
        <v>176</v>
      </c>
      <c r="L110" s="25" t="s">
        <v>275</v>
      </c>
      <c r="M110" s="26" t="s">
        <v>71</v>
      </c>
    </row>
    <row r="111" customFormat="false" ht="15" hidden="false" customHeight="true" outlineLevel="0" collapsed="false">
      <c r="A111" s="25" t="n">
        <v>110</v>
      </c>
      <c r="B111" s="25" t="s">
        <v>28</v>
      </c>
      <c r="C111" s="25" t="s">
        <v>34</v>
      </c>
      <c r="D111" s="25" t="s">
        <v>359</v>
      </c>
      <c r="E111" s="25" t="s">
        <v>361</v>
      </c>
      <c r="F111" s="25" t="n">
        <v>2</v>
      </c>
      <c r="G111" s="25" t="s">
        <v>56</v>
      </c>
      <c r="H111" s="43" t="n">
        <v>4.98</v>
      </c>
      <c r="I111" s="25" t="s">
        <v>202</v>
      </c>
      <c r="J111" s="44" t="n">
        <f aca="false">IF(I111="EUR",H111*Summary!$C$3,H111)</f>
        <v>54.78</v>
      </c>
      <c r="K111" s="25" t="s">
        <v>176</v>
      </c>
      <c r="L111" s="25" t="s">
        <v>275</v>
      </c>
      <c r="M111" s="26" t="s">
        <v>71</v>
      </c>
    </row>
    <row r="112" customFormat="false" ht="15" hidden="false" customHeight="true" outlineLevel="0" collapsed="false">
      <c r="A112" s="25" t="n">
        <v>111</v>
      </c>
      <c r="B112" s="25" t="s">
        <v>28</v>
      </c>
      <c r="C112" s="25" t="s">
        <v>34</v>
      </c>
      <c r="D112" s="25" t="s">
        <v>359</v>
      </c>
      <c r="E112" s="25" t="s">
        <v>362</v>
      </c>
      <c r="F112" s="25" t="n">
        <v>2</v>
      </c>
      <c r="G112" s="25" t="s">
        <v>56</v>
      </c>
      <c r="H112" s="43" t="n">
        <v>5.33</v>
      </c>
      <c r="I112" s="25" t="s">
        <v>202</v>
      </c>
      <c r="J112" s="44" t="n">
        <f aca="false">IF(I112="EUR",H112*Summary!$C$3,H112)</f>
        <v>58.63</v>
      </c>
      <c r="K112" s="25" t="s">
        <v>176</v>
      </c>
      <c r="L112" s="25" t="s">
        <v>275</v>
      </c>
      <c r="M112" s="26" t="s">
        <v>71</v>
      </c>
    </row>
    <row r="113" customFormat="false" ht="15" hidden="false" customHeight="true" outlineLevel="0" collapsed="false">
      <c r="A113" s="25" t="n">
        <v>112</v>
      </c>
      <c r="B113" s="25" t="s">
        <v>28</v>
      </c>
      <c r="C113" s="25" t="s">
        <v>34</v>
      </c>
      <c r="D113" s="25" t="s">
        <v>359</v>
      </c>
      <c r="E113" s="25" t="s">
        <v>363</v>
      </c>
      <c r="F113" s="25" t="n">
        <v>2</v>
      </c>
      <c r="G113" s="25" t="s">
        <v>56</v>
      </c>
      <c r="H113" s="43" t="n">
        <v>5.33</v>
      </c>
      <c r="I113" s="25" t="s">
        <v>202</v>
      </c>
      <c r="J113" s="44" t="n">
        <f aca="false">IF(I113="EUR",H113*Summary!$C$3,H113)</f>
        <v>58.63</v>
      </c>
      <c r="K113" s="25" t="s">
        <v>176</v>
      </c>
      <c r="L113" s="25" t="s">
        <v>275</v>
      </c>
      <c r="M113" s="26" t="s">
        <v>71</v>
      </c>
    </row>
    <row r="114" customFormat="false" ht="15" hidden="false" customHeight="true" outlineLevel="0" collapsed="false">
      <c r="A114" s="25" t="n">
        <v>113</v>
      </c>
      <c r="B114" s="25" t="s">
        <v>28</v>
      </c>
      <c r="C114" s="25" t="s">
        <v>34</v>
      </c>
      <c r="D114" s="25" t="s">
        <v>359</v>
      </c>
      <c r="E114" s="25" t="s">
        <v>364</v>
      </c>
      <c r="F114" s="25" t="n">
        <v>2</v>
      </c>
      <c r="G114" s="25" t="s">
        <v>56</v>
      </c>
      <c r="H114" s="43" t="n">
        <v>5.31</v>
      </c>
      <c r="I114" s="25" t="s">
        <v>202</v>
      </c>
      <c r="J114" s="44" t="n">
        <f aca="false">IF(I114="EUR",H114*Summary!$C$3,H114)</f>
        <v>58.41</v>
      </c>
      <c r="K114" s="25" t="s">
        <v>176</v>
      </c>
      <c r="L114" s="25" t="s">
        <v>275</v>
      </c>
      <c r="M114" s="26" t="s">
        <v>71</v>
      </c>
    </row>
    <row r="115" customFormat="false" ht="15" hidden="false" customHeight="true" outlineLevel="0" collapsed="false">
      <c r="A115" s="25" t="n">
        <v>114</v>
      </c>
      <c r="B115" s="25" t="s">
        <v>28</v>
      </c>
      <c r="C115" s="25" t="s">
        <v>34</v>
      </c>
      <c r="D115" s="25" t="s">
        <v>365</v>
      </c>
      <c r="E115" s="25" t="s">
        <v>366</v>
      </c>
      <c r="F115" s="25" t="n">
        <v>1</v>
      </c>
      <c r="G115" s="25" t="s">
        <v>56</v>
      </c>
      <c r="H115" s="43" t="n">
        <v>36.55</v>
      </c>
      <c r="I115" s="25" t="s">
        <v>5</v>
      </c>
      <c r="J115" s="44" t="n">
        <f aca="false">IF(I115="EUR",H115*Summary!$C$3,H115)</f>
        <v>36.55</v>
      </c>
      <c r="K115" s="25" t="s">
        <v>176</v>
      </c>
      <c r="L115" s="25"/>
      <c r="M115" s="26" t="s">
        <v>71</v>
      </c>
    </row>
    <row r="116" customFormat="false" ht="15" hidden="false" customHeight="true" outlineLevel="0" collapsed="false">
      <c r="A116" s="25" t="n">
        <v>115</v>
      </c>
      <c r="B116" s="25" t="s">
        <v>28</v>
      </c>
      <c r="C116" s="25" t="s">
        <v>34</v>
      </c>
      <c r="D116" s="25" t="s">
        <v>367</v>
      </c>
      <c r="E116" s="25" t="s">
        <v>368</v>
      </c>
      <c r="F116" s="25" t="n">
        <v>1</v>
      </c>
      <c r="G116" s="25" t="s">
        <v>56</v>
      </c>
      <c r="H116" s="43" t="n">
        <v>2.2</v>
      </c>
      <c r="I116" s="25" t="s">
        <v>202</v>
      </c>
      <c r="J116" s="44" t="n">
        <f aca="false">IF(I116="EUR",H116*Summary!$C$3,H116)</f>
        <v>24.2</v>
      </c>
      <c r="K116" s="25" t="s">
        <v>176</v>
      </c>
      <c r="L116" s="25"/>
      <c r="M116" s="26" t="s">
        <v>71</v>
      </c>
    </row>
    <row r="117" customFormat="false" ht="15" hidden="false" customHeight="true" outlineLevel="0" collapsed="false">
      <c r="A117" s="25" t="n">
        <v>116</v>
      </c>
      <c r="B117" s="25" t="s">
        <v>28</v>
      </c>
      <c r="C117" s="25" t="s">
        <v>34</v>
      </c>
      <c r="D117" s="25" t="s">
        <v>369</v>
      </c>
      <c r="E117" s="25" t="s">
        <v>270</v>
      </c>
      <c r="F117" s="25" t="n">
        <v>1</v>
      </c>
      <c r="G117" s="25" t="s">
        <v>56</v>
      </c>
      <c r="H117" s="43" t="n">
        <v>18.06</v>
      </c>
      <c r="I117" s="25" t="s">
        <v>5</v>
      </c>
      <c r="J117" s="44" t="n">
        <f aca="false">IF(I117="EUR",H117*Summary!$C$3,H117)</f>
        <v>18.06</v>
      </c>
      <c r="K117" s="25" t="s">
        <v>198</v>
      </c>
      <c r="L117" s="25"/>
      <c r="M117" s="26" t="s">
        <v>71</v>
      </c>
    </row>
    <row r="118" customFormat="false" ht="15" hidden="false" customHeight="true" outlineLevel="0" collapsed="false">
      <c r="A118" s="25" t="n">
        <v>117</v>
      </c>
      <c r="B118" s="25" t="s">
        <v>28</v>
      </c>
      <c r="C118" s="25" t="s">
        <v>34</v>
      </c>
      <c r="D118" s="25" t="s">
        <v>370</v>
      </c>
      <c r="E118" s="25" t="s">
        <v>371</v>
      </c>
      <c r="F118" s="25" t="n">
        <v>1</v>
      </c>
      <c r="G118" s="25" t="s">
        <v>56</v>
      </c>
      <c r="H118" s="43" t="n">
        <v>18.76</v>
      </c>
      <c r="I118" s="25" t="s">
        <v>5</v>
      </c>
      <c r="J118" s="44" t="n">
        <f aca="false">IF(I118="EUR",H118*Summary!$C$3,H118)</f>
        <v>18.76</v>
      </c>
      <c r="K118" s="25" t="s">
        <v>198</v>
      </c>
      <c r="L118" s="25"/>
      <c r="M118" s="26" t="s">
        <v>71</v>
      </c>
    </row>
    <row r="119" customFormat="false" ht="15" hidden="false" customHeight="true" outlineLevel="0" collapsed="false">
      <c r="A119" s="25" t="n">
        <v>118</v>
      </c>
      <c r="B119" s="25" t="s">
        <v>28</v>
      </c>
      <c r="C119" s="25" t="s">
        <v>34</v>
      </c>
      <c r="D119" s="25" t="s">
        <v>372</v>
      </c>
      <c r="E119" s="25" t="s">
        <v>373</v>
      </c>
      <c r="F119" s="25" t="n">
        <v>1</v>
      </c>
      <c r="G119" s="25" t="s">
        <v>56</v>
      </c>
      <c r="H119" s="43" t="n">
        <v>26.55</v>
      </c>
      <c r="I119" s="25" t="s">
        <v>5</v>
      </c>
      <c r="J119" s="44" t="n">
        <f aca="false">IF(I119="EUR",H119*Summary!$C$3,H119)</f>
        <v>26.55</v>
      </c>
      <c r="K119" s="25" t="s">
        <v>198</v>
      </c>
      <c r="L119" s="25" t="s">
        <v>275</v>
      </c>
      <c r="M119" s="26" t="s">
        <v>71</v>
      </c>
    </row>
    <row r="120" customFormat="false" ht="15" hidden="false" customHeight="true" outlineLevel="0" collapsed="false">
      <c r="A120" s="25" t="n">
        <v>119</v>
      </c>
      <c r="B120" s="25" t="s">
        <v>28</v>
      </c>
      <c r="C120" s="25" t="s">
        <v>34</v>
      </c>
      <c r="D120" s="25" t="s">
        <v>372</v>
      </c>
      <c r="E120" s="25" t="s">
        <v>374</v>
      </c>
      <c r="F120" s="25" t="n">
        <v>1</v>
      </c>
      <c r="G120" s="25" t="s">
        <v>56</v>
      </c>
      <c r="H120" s="43" t="n">
        <v>23.36</v>
      </c>
      <c r="I120" s="25" t="s">
        <v>5</v>
      </c>
      <c r="J120" s="44" t="n">
        <f aca="false">IF(I120="EUR",H120*Summary!$C$3,H120)</f>
        <v>23.36</v>
      </c>
      <c r="K120" s="25" t="s">
        <v>198</v>
      </c>
      <c r="L120" s="25" t="s">
        <v>275</v>
      </c>
      <c r="M120" s="26" t="s">
        <v>71</v>
      </c>
    </row>
    <row r="121" customFormat="false" ht="15" hidden="false" customHeight="true" outlineLevel="0" collapsed="false">
      <c r="A121" s="25" t="n">
        <v>120</v>
      </c>
      <c r="B121" s="25" t="s">
        <v>28</v>
      </c>
      <c r="C121" s="25" t="s">
        <v>34</v>
      </c>
      <c r="D121" s="25" t="s">
        <v>375</v>
      </c>
      <c r="E121" s="25" t="s">
        <v>376</v>
      </c>
      <c r="F121" s="25" t="n">
        <v>1</v>
      </c>
      <c r="G121" s="25" t="s">
        <v>56</v>
      </c>
      <c r="H121" s="43" t="n">
        <v>29.23</v>
      </c>
      <c r="I121" s="25" t="s">
        <v>5</v>
      </c>
      <c r="J121" s="44" t="n">
        <f aca="false">IF(I121="EUR",H121*Summary!$C$3,H121)</f>
        <v>29.23</v>
      </c>
      <c r="K121" s="25" t="s">
        <v>198</v>
      </c>
      <c r="L121" s="25" t="s">
        <v>275</v>
      </c>
      <c r="M121" s="26" t="s">
        <v>71</v>
      </c>
    </row>
    <row r="122" customFormat="false" ht="15" hidden="false" customHeight="true" outlineLevel="0" collapsed="false">
      <c r="A122" s="25" t="n">
        <v>121</v>
      </c>
      <c r="B122" s="25" t="s">
        <v>28</v>
      </c>
      <c r="C122" s="25" t="s">
        <v>34</v>
      </c>
      <c r="D122" s="25" t="s">
        <v>375</v>
      </c>
      <c r="E122" s="25" t="s">
        <v>377</v>
      </c>
      <c r="F122" s="25" t="n">
        <v>1</v>
      </c>
      <c r="G122" s="25" t="s">
        <v>56</v>
      </c>
      <c r="H122" s="43" t="n">
        <v>21.66</v>
      </c>
      <c r="I122" s="25" t="s">
        <v>5</v>
      </c>
      <c r="J122" s="44" t="n">
        <f aca="false">IF(I122="EUR",H122*Summary!$C$3,H122)</f>
        <v>21.66</v>
      </c>
      <c r="K122" s="25" t="s">
        <v>198</v>
      </c>
      <c r="L122" s="25" t="s">
        <v>275</v>
      </c>
      <c r="M122" s="26" t="s">
        <v>71</v>
      </c>
    </row>
    <row r="123" customFormat="false" ht="15" hidden="false" customHeight="true" outlineLevel="0" collapsed="false">
      <c r="A123" s="25" t="n">
        <v>122</v>
      </c>
      <c r="B123" s="25" t="s">
        <v>28</v>
      </c>
      <c r="C123" s="25" t="s">
        <v>34</v>
      </c>
      <c r="D123" s="25" t="s">
        <v>378</v>
      </c>
      <c r="E123" s="25" t="s">
        <v>379</v>
      </c>
      <c r="F123" s="25" t="n">
        <v>1</v>
      </c>
      <c r="G123" s="25" t="s">
        <v>56</v>
      </c>
      <c r="H123" s="43" t="n">
        <v>5.65</v>
      </c>
      <c r="I123" s="25" t="s">
        <v>202</v>
      </c>
      <c r="J123" s="44" t="n">
        <f aca="false">IF(I123="EUR",H123*Summary!$C$3,H123)</f>
        <v>62.15</v>
      </c>
      <c r="K123" s="25" t="s">
        <v>176</v>
      </c>
      <c r="L123" s="25"/>
      <c r="M123" s="26" t="s">
        <v>71</v>
      </c>
    </row>
    <row r="124" customFormat="false" ht="15" hidden="false" customHeight="true" outlineLevel="0" collapsed="false">
      <c r="A124" s="25" t="n">
        <v>123</v>
      </c>
      <c r="B124" s="25" t="s">
        <v>28</v>
      </c>
      <c r="C124" s="25" t="s">
        <v>34</v>
      </c>
      <c r="D124" s="25" t="s">
        <v>380</v>
      </c>
      <c r="E124" s="25" t="s">
        <v>272</v>
      </c>
      <c r="F124" s="25" t="n">
        <v>1</v>
      </c>
      <c r="G124" s="25" t="s">
        <v>56</v>
      </c>
      <c r="H124" s="43" t="n">
        <v>18.88</v>
      </c>
      <c r="I124" s="25" t="s">
        <v>5</v>
      </c>
      <c r="J124" s="44" t="n">
        <f aca="false">IF(I124="EUR",H124*Summary!$C$3,H124)</f>
        <v>18.88</v>
      </c>
      <c r="K124" s="25" t="s">
        <v>176</v>
      </c>
      <c r="L124" s="25"/>
      <c r="M124" s="26" t="s">
        <v>71</v>
      </c>
    </row>
    <row r="125" customFormat="false" ht="15" hidden="false" customHeight="true" outlineLevel="0" collapsed="false">
      <c r="A125" s="25" t="n">
        <v>124</v>
      </c>
      <c r="B125" s="25" t="s">
        <v>28</v>
      </c>
      <c r="C125" s="25" t="s">
        <v>35</v>
      </c>
      <c r="D125" s="25" t="s">
        <v>381</v>
      </c>
      <c r="E125" s="25" t="s">
        <v>382</v>
      </c>
      <c r="F125" s="25" t="n">
        <v>1</v>
      </c>
      <c r="G125" s="25" t="s">
        <v>56</v>
      </c>
      <c r="H125" s="43" t="n">
        <v>5.21</v>
      </c>
      <c r="I125" s="25" t="s">
        <v>202</v>
      </c>
      <c r="J125" s="44" t="n">
        <f aca="false">IF(I125="EUR",H125*Summary!$C$3,H125)</f>
        <v>57.31</v>
      </c>
      <c r="K125" s="25" t="s">
        <v>176</v>
      </c>
      <c r="L125" s="25" t="s">
        <v>275</v>
      </c>
      <c r="M125" s="26" t="s">
        <v>71</v>
      </c>
    </row>
    <row r="126" customFormat="false" ht="15" hidden="false" customHeight="true" outlineLevel="0" collapsed="false">
      <c r="A126" s="25" t="n">
        <v>125</v>
      </c>
      <c r="B126" s="25" t="s">
        <v>28</v>
      </c>
      <c r="C126" s="25" t="s">
        <v>35</v>
      </c>
      <c r="D126" s="25" t="s">
        <v>383</v>
      </c>
      <c r="E126" s="25" t="s">
        <v>384</v>
      </c>
      <c r="F126" s="25" t="n">
        <v>1</v>
      </c>
      <c r="G126" s="25" t="s">
        <v>56</v>
      </c>
      <c r="H126" s="43" t="n">
        <v>14.97</v>
      </c>
      <c r="I126" s="25" t="s">
        <v>202</v>
      </c>
      <c r="J126" s="44" t="n">
        <f aca="false">IF(I126="EUR",H126*Summary!$C$3,H126)</f>
        <v>164.67</v>
      </c>
      <c r="K126" s="25" t="s">
        <v>176</v>
      </c>
      <c r="L126" s="25" t="s">
        <v>275</v>
      </c>
      <c r="M126" s="26" t="s">
        <v>71</v>
      </c>
    </row>
    <row r="127" customFormat="false" ht="15" hidden="false" customHeight="true" outlineLevel="0" collapsed="false">
      <c r="A127" s="25" t="n">
        <v>126</v>
      </c>
      <c r="B127" s="25" t="s">
        <v>28</v>
      </c>
      <c r="C127" s="25" t="s">
        <v>35</v>
      </c>
      <c r="D127" s="25" t="s">
        <v>385</v>
      </c>
      <c r="E127" s="25" t="s">
        <v>386</v>
      </c>
      <c r="F127" s="25" t="n">
        <v>1</v>
      </c>
      <c r="G127" s="25" t="s">
        <v>56</v>
      </c>
      <c r="H127" s="43" t="n">
        <v>12.01</v>
      </c>
      <c r="I127" s="25" t="s">
        <v>202</v>
      </c>
      <c r="J127" s="44" t="n">
        <f aca="false">IF(I127="EUR",H127*Summary!$C$3,H127)</f>
        <v>132.11</v>
      </c>
      <c r="K127" s="25" t="s">
        <v>176</v>
      </c>
      <c r="L127" s="25" t="s">
        <v>275</v>
      </c>
      <c r="M127" s="26" t="s">
        <v>71</v>
      </c>
    </row>
    <row r="128" customFormat="false" ht="15" hidden="false" customHeight="true" outlineLevel="0" collapsed="false">
      <c r="A128" s="25" t="n">
        <v>127</v>
      </c>
      <c r="B128" s="25" t="s">
        <v>28</v>
      </c>
      <c r="C128" s="25" t="s">
        <v>35</v>
      </c>
      <c r="D128" s="25" t="s">
        <v>387</v>
      </c>
      <c r="E128" s="25" t="s">
        <v>388</v>
      </c>
      <c r="F128" s="25" t="n">
        <v>1</v>
      </c>
      <c r="G128" s="25" t="s">
        <v>56</v>
      </c>
      <c r="H128" s="43" t="n">
        <v>17.76</v>
      </c>
      <c r="I128" s="25" t="s">
        <v>202</v>
      </c>
      <c r="J128" s="44" t="n">
        <f aca="false">IF(I128="EUR",H128*Summary!$C$3,H128)</f>
        <v>195.36</v>
      </c>
      <c r="K128" s="25" t="s">
        <v>176</v>
      </c>
      <c r="L128" s="25" t="s">
        <v>275</v>
      </c>
      <c r="M128" s="26" t="s">
        <v>71</v>
      </c>
    </row>
    <row r="129" customFormat="false" ht="15" hidden="false" customHeight="true" outlineLevel="0" collapsed="false">
      <c r="A129" s="25" t="n">
        <v>128</v>
      </c>
      <c r="B129" s="25" t="s">
        <v>28</v>
      </c>
      <c r="C129" s="25" t="s">
        <v>36</v>
      </c>
      <c r="D129" s="25" t="s">
        <v>389</v>
      </c>
      <c r="E129" s="25" t="s">
        <v>390</v>
      </c>
      <c r="F129" s="25" t="n">
        <v>1</v>
      </c>
      <c r="G129" s="25" t="s">
        <v>56</v>
      </c>
      <c r="H129" s="43" t="n">
        <v>29.98</v>
      </c>
      <c r="I129" s="25" t="s">
        <v>5</v>
      </c>
      <c r="J129" s="44" t="n">
        <f aca="false">IF(I129="EUR",H129*Summary!$C$3,H129)</f>
        <v>29.98</v>
      </c>
      <c r="K129" s="25" t="s">
        <v>198</v>
      </c>
      <c r="L129" s="25"/>
      <c r="M129" s="26" t="s">
        <v>71</v>
      </c>
    </row>
    <row r="130" customFormat="false" ht="15" hidden="false" customHeight="true" outlineLevel="0" collapsed="false">
      <c r="A130" s="25" t="n">
        <v>129</v>
      </c>
      <c r="B130" s="25" t="s">
        <v>28</v>
      </c>
      <c r="C130" s="25" t="s">
        <v>36</v>
      </c>
      <c r="D130" s="25" t="s">
        <v>391</v>
      </c>
      <c r="E130" s="25" t="s">
        <v>392</v>
      </c>
      <c r="F130" s="25" t="n">
        <v>1</v>
      </c>
      <c r="G130" s="25" t="s">
        <v>56</v>
      </c>
      <c r="H130" s="43" t="n">
        <v>3.01</v>
      </c>
      <c r="I130" s="25" t="s">
        <v>202</v>
      </c>
      <c r="J130" s="44" t="n">
        <f aca="false">IF(I130="EUR",H130*Summary!$C$3,H130)</f>
        <v>33.11</v>
      </c>
      <c r="K130" s="25" t="s">
        <v>176</v>
      </c>
      <c r="L130" s="25" t="s">
        <v>275</v>
      </c>
      <c r="M130" s="26" t="s">
        <v>71</v>
      </c>
    </row>
    <row r="131" customFormat="false" ht="15" hidden="false" customHeight="true" outlineLevel="0" collapsed="false">
      <c r="A131" s="25" t="n">
        <v>130</v>
      </c>
      <c r="B131" s="25" t="s">
        <v>28</v>
      </c>
      <c r="C131" s="25" t="s">
        <v>36</v>
      </c>
      <c r="D131" s="25" t="s">
        <v>391</v>
      </c>
      <c r="E131" s="25" t="s">
        <v>393</v>
      </c>
      <c r="F131" s="25" t="n">
        <v>1</v>
      </c>
      <c r="G131" s="25" t="s">
        <v>56</v>
      </c>
      <c r="H131" s="43" t="n">
        <v>4.03</v>
      </c>
      <c r="I131" s="25" t="s">
        <v>202</v>
      </c>
      <c r="J131" s="44" t="n">
        <f aca="false">IF(I131="EUR",H131*Summary!$C$3,H131)</f>
        <v>44.33</v>
      </c>
      <c r="K131" s="25" t="s">
        <v>176</v>
      </c>
      <c r="L131" s="25" t="s">
        <v>275</v>
      </c>
      <c r="M131" s="26" t="s">
        <v>71</v>
      </c>
    </row>
    <row r="132" customFormat="false" ht="15" hidden="false" customHeight="true" outlineLevel="0" collapsed="false">
      <c r="A132" s="25" t="n">
        <v>131</v>
      </c>
      <c r="B132" s="25" t="s">
        <v>28</v>
      </c>
      <c r="C132" s="25" t="s">
        <v>37</v>
      </c>
      <c r="D132" s="25" t="s">
        <v>394</v>
      </c>
      <c r="E132" s="25" t="s">
        <v>395</v>
      </c>
      <c r="F132" s="25" t="n">
        <v>1</v>
      </c>
      <c r="G132" s="25" t="s">
        <v>56</v>
      </c>
      <c r="H132" s="43" t="n">
        <v>4.55</v>
      </c>
      <c r="I132" s="25" t="s">
        <v>202</v>
      </c>
      <c r="J132" s="44" t="n">
        <f aca="false">IF(I132="EUR",H132*Summary!$C$3,H132)</f>
        <v>50.05</v>
      </c>
      <c r="K132" s="25" t="s">
        <v>176</v>
      </c>
      <c r="L132" s="25"/>
      <c r="M132" s="26" t="s">
        <v>71</v>
      </c>
    </row>
    <row r="133" customFormat="false" ht="15" hidden="false" customHeight="true" outlineLevel="0" collapsed="false">
      <c r="A133" s="25" t="n">
        <v>132</v>
      </c>
      <c r="B133" s="25" t="s">
        <v>28</v>
      </c>
      <c r="C133" s="25" t="s">
        <v>37</v>
      </c>
      <c r="D133" s="25" t="s">
        <v>396</v>
      </c>
      <c r="E133" s="25" t="s">
        <v>397</v>
      </c>
      <c r="F133" s="25" t="n">
        <v>1</v>
      </c>
      <c r="G133" s="25" t="s">
        <v>56</v>
      </c>
      <c r="H133" s="43" t="n">
        <v>10.12</v>
      </c>
      <c r="I133" s="25" t="s">
        <v>202</v>
      </c>
      <c r="J133" s="44" t="n">
        <f aca="false">IF(I133="EUR",H133*Summary!$C$3,H133)</f>
        <v>111.32</v>
      </c>
      <c r="K133" s="25" t="s">
        <v>176</v>
      </c>
      <c r="L133" s="25"/>
      <c r="M133" s="26" t="s">
        <v>71</v>
      </c>
    </row>
    <row r="134" customFormat="false" ht="15" hidden="false" customHeight="true" outlineLevel="0" collapsed="false">
      <c r="A134" s="25" t="n">
        <v>133</v>
      </c>
      <c r="B134" s="25" t="s">
        <v>28</v>
      </c>
      <c r="C134" s="25" t="s">
        <v>29</v>
      </c>
      <c r="D134" s="25" t="s">
        <v>398</v>
      </c>
      <c r="E134" s="25" t="s">
        <v>399</v>
      </c>
      <c r="F134" s="25" t="n">
        <v>1</v>
      </c>
      <c r="G134" s="25" t="s">
        <v>56</v>
      </c>
      <c r="H134" s="43"/>
      <c r="I134" s="25" t="s">
        <v>5</v>
      </c>
      <c r="J134" s="44" t="n">
        <f aca="false">IF(I134="EUR",H134*Summary!$C$3,H134)</f>
        <v>0</v>
      </c>
      <c r="K134" s="25" t="s">
        <v>183</v>
      </c>
      <c r="L134" s="25" t="s">
        <v>400</v>
      </c>
      <c r="M134" s="26" t="s">
        <v>71</v>
      </c>
    </row>
    <row r="135" customFormat="false" ht="15" hidden="false" customHeight="true" outlineLevel="0" collapsed="false">
      <c r="A135" s="25" t="n">
        <v>134</v>
      </c>
      <c r="B135" s="25" t="s">
        <v>28</v>
      </c>
      <c r="C135" s="25" t="s">
        <v>29</v>
      </c>
      <c r="D135" s="25" t="s">
        <v>401</v>
      </c>
      <c r="E135" s="25" t="s">
        <v>402</v>
      </c>
      <c r="F135" s="25" t="n">
        <v>1</v>
      </c>
      <c r="G135" s="25" t="s">
        <v>56</v>
      </c>
      <c r="H135" s="43"/>
      <c r="I135" s="25" t="s">
        <v>5</v>
      </c>
      <c r="J135" s="44" t="n">
        <f aca="false">IF(I135="EUR",H135*Summary!$C$3,H135)</f>
        <v>0</v>
      </c>
      <c r="K135" s="25" t="s">
        <v>183</v>
      </c>
      <c r="L135" s="25" t="s">
        <v>400</v>
      </c>
      <c r="M135" s="26" t="s">
        <v>71</v>
      </c>
    </row>
    <row r="136" customFormat="false" ht="15" hidden="false" customHeight="true" outlineLevel="0" collapsed="false">
      <c r="A136" s="25" t="n">
        <v>135</v>
      </c>
      <c r="B136" s="25" t="s">
        <v>28</v>
      </c>
      <c r="C136" s="25" t="s">
        <v>29</v>
      </c>
      <c r="D136" s="25" t="s">
        <v>403</v>
      </c>
      <c r="E136" s="25" t="s">
        <v>404</v>
      </c>
      <c r="F136" s="25" t="n">
        <v>2</v>
      </c>
      <c r="G136" s="25" t="s">
        <v>56</v>
      </c>
      <c r="H136" s="43" t="n">
        <v>37.84</v>
      </c>
      <c r="I136" s="25" t="s">
        <v>5</v>
      </c>
      <c r="J136" s="44" t="n">
        <f aca="false">IF(I136="EUR",H136*Summary!$C$3,H136)</f>
        <v>37.84</v>
      </c>
      <c r="K136" s="25" t="s">
        <v>183</v>
      </c>
      <c r="L136" s="25" t="s">
        <v>405</v>
      </c>
      <c r="M136" s="26" t="s">
        <v>71</v>
      </c>
    </row>
    <row r="137" customFormat="false" ht="15" hidden="false" customHeight="true" outlineLevel="0" collapsed="false">
      <c r="A137" s="25" t="n">
        <v>136</v>
      </c>
      <c r="B137" s="25" t="s">
        <v>28</v>
      </c>
      <c r="C137" s="25" t="s">
        <v>32</v>
      </c>
      <c r="D137" s="25" t="s">
        <v>406</v>
      </c>
      <c r="E137" s="25" t="s">
        <v>407</v>
      </c>
      <c r="F137" s="25" t="n">
        <v>1</v>
      </c>
      <c r="G137" s="25" t="s">
        <v>56</v>
      </c>
      <c r="H137" s="43" t="n">
        <v>39.63</v>
      </c>
      <c r="I137" s="25" t="s">
        <v>5</v>
      </c>
      <c r="J137" s="44" t="n">
        <f aca="false">IF(I137="EUR",H137*Summary!$C$3,H137)</f>
        <v>39.63</v>
      </c>
      <c r="K137" s="25" t="s">
        <v>183</v>
      </c>
      <c r="L137" s="25" t="s">
        <v>408</v>
      </c>
      <c r="M137" s="26" t="s">
        <v>71</v>
      </c>
    </row>
    <row r="138" customFormat="false" ht="15" hidden="false" customHeight="true" outlineLevel="0" collapsed="false">
      <c r="A138" s="25" t="n">
        <v>137</v>
      </c>
      <c r="B138" s="25" t="s">
        <v>28</v>
      </c>
      <c r="C138" s="25" t="s">
        <v>32</v>
      </c>
      <c r="D138" s="25" t="s">
        <v>345</v>
      </c>
      <c r="E138" s="25" t="s">
        <v>409</v>
      </c>
      <c r="F138" s="25" t="n">
        <v>1</v>
      </c>
      <c r="G138" s="25" t="s">
        <v>56</v>
      </c>
      <c r="H138" s="43" t="n">
        <v>18.92</v>
      </c>
      <c r="I138" s="25" t="s">
        <v>5</v>
      </c>
      <c r="J138" s="44" t="n">
        <f aca="false">IF(I138="EUR",H138*Summary!$C$3,H138)</f>
        <v>18.92</v>
      </c>
      <c r="K138" s="25" t="s">
        <v>183</v>
      </c>
      <c r="L138" s="25" t="s">
        <v>410</v>
      </c>
      <c r="M138" s="26" t="s">
        <v>71</v>
      </c>
    </row>
    <row r="139" customFormat="false" ht="15" hidden="false" customHeight="true" outlineLevel="0" collapsed="false">
      <c r="A139" s="25" t="n">
        <v>138</v>
      </c>
      <c r="B139" s="25" t="s">
        <v>28</v>
      </c>
      <c r="C139" s="25" t="s">
        <v>34</v>
      </c>
      <c r="D139" s="25" t="s">
        <v>411</v>
      </c>
      <c r="E139" s="25" t="s">
        <v>412</v>
      </c>
      <c r="F139" s="25" t="n">
        <v>1</v>
      </c>
      <c r="G139" s="25"/>
      <c r="H139" s="43"/>
      <c r="I139" s="25" t="s">
        <v>5</v>
      </c>
      <c r="J139" s="44" t="n">
        <f aca="false">IF(I139="EUR",H139*Summary!$C$3,H139)</f>
        <v>0</v>
      </c>
      <c r="K139" s="25" t="s">
        <v>413</v>
      </c>
      <c r="L139" s="25" t="s">
        <v>414</v>
      </c>
      <c r="M139" s="26" t="s">
        <v>71</v>
      </c>
    </row>
    <row r="140" customFormat="false" ht="15" hidden="false" customHeight="true" outlineLevel="0" collapsed="false">
      <c r="A140" s="25" t="n">
        <v>139</v>
      </c>
      <c r="B140" s="25" t="s">
        <v>28</v>
      </c>
      <c r="C140" s="25" t="s">
        <v>34</v>
      </c>
      <c r="D140" s="25" t="s">
        <v>415</v>
      </c>
      <c r="E140" s="25" t="s">
        <v>416</v>
      </c>
      <c r="F140" s="25" t="n">
        <v>1</v>
      </c>
      <c r="G140" s="25"/>
      <c r="H140" s="43"/>
      <c r="I140" s="25" t="s">
        <v>5</v>
      </c>
      <c r="J140" s="44" t="n">
        <f aca="false">IF(I140="EUR",H140*Summary!$C$3,H140)</f>
        <v>0</v>
      </c>
      <c r="K140" s="25" t="s">
        <v>417</v>
      </c>
      <c r="L140" s="25" t="s">
        <v>418</v>
      </c>
      <c r="M140" s="26" t="s">
        <v>71</v>
      </c>
    </row>
    <row r="141" customFormat="false" ht="15" hidden="false" customHeight="true" outlineLevel="0" collapsed="false">
      <c r="A141" s="25" t="n">
        <v>140</v>
      </c>
      <c r="B141" s="25" t="s">
        <v>28</v>
      </c>
      <c r="C141" s="25" t="s">
        <v>34</v>
      </c>
      <c r="D141" s="25" t="s">
        <v>419</v>
      </c>
      <c r="E141" s="25" t="s">
        <v>420</v>
      </c>
      <c r="F141" s="25" t="n">
        <v>3</v>
      </c>
      <c r="G141" s="25"/>
      <c r="H141" s="43"/>
      <c r="I141" s="25" t="s">
        <v>5</v>
      </c>
      <c r="J141" s="44" t="n">
        <f aca="false">IF(I141="EUR",H141*Summary!$C$3,H141)</f>
        <v>0</v>
      </c>
      <c r="K141" s="25" t="s">
        <v>417</v>
      </c>
      <c r="L141" s="25" t="s">
        <v>421</v>
      </c>
      <c r="M141" s="26" t="s">
        <v>71</v>
      </c>
    </row>
    <row r="142" customFormat="false" ht="15" hidden="false" customHeight="true" outlineLevel="0" collapsed="false">
      <c r="A142" s="25" t="n">
        <v>141</v>
      </c>
      <c r="B142" s="25" t="s">
        <v>28</v>
      </c>
      <c r="C142" s="25" t="s">
        <v>34</v>
      </c>
      <c r="D142" s="25" t="s">
        <v>422</v>
      </c>
      <c r="E142" s="25" t="s">
        <v>423</v>
      </c>
      <c r="F142" s="25" t="n">
        <v>6</v>
      </c>
      <c r="G142" s="25"/>
      <c r="H142" s="43"/>
      <c r="I142" s="25" t="s">
        <v>5</v>
      </c>
      <c r="J142" s="44" t="n">
        <f aca="false">IF(I142="EUR",H142*Summary!$C$3,H142)</f>
        <v>0</v>
      </c>
      <c r="K142" s="25" t="s">
        <v>417</v>
      </c>
      <c r="L142" s="25" t="s">
        <v>424</v>
      </c>
      <c r="M142" s="26" t="s">
        <v>71</v>
      </c>
    </row>
    <row r="143" customFormat="false" ht="15" hidden="false" customHeight="true" outlineLevel="0" collapsed="false">
      <c r="A143" s="25" t="n">
        <v>142</v>
      </c>
      <c r="B143" s="25" t="s">
        <v>28</v>
      </c>
      <c r="C143" s="25" t="s">
        <v>35</v>
      </c>
      <c r="D143" s="25" t="s">
        <v>425</v>
      </c>
      <c r="E143" s="25" t="s">
        <v>426</v>
      </c>
      <c r="F143" s="25" t="n">
        <v>1</v>
      </c>
      <c r="G143" s="25"/>
      <c r="H143" s="43"/>
      <c r="I143" s="25" t="s">
        <v>5</v>
      </c>
      <c r="J143" s="44" t="n">
        <f aca="false">IF(I143="EUR",H143*Summary!$C$3,H143)</f>
        <v>0</v>
      </c>
      <c r="K143" s="25" t="s">
        <v>413</v>
      </c>
      <c r="L143" s="25" t="s">
        <v>427</v>
      </c>
      <c r="M143" s="26" t="s">
        <v>71</v>
      </c>
    </row>
    <row r="144" customFormat="false" ht="15" hidden="false" customHeight="true" outlineLevel="0" collapsed="false">
      <c r="A144" s="25" t="n">
        <v>143</v>
      </c>
      <c r="B144" s="25" t="s">
        <v>28</v>
      </c>
      <c r="C144" s="25" t="s">
        <v>37</v>
      </c>
      <c r="D144" s="25" t="s">
        <v>394</v>
      </c>
      <c r="E144" s="25" t="s">
        <v>428</v>
      </c>
      <c r="F144" s="25" t="n">
        <v>1</v>
      </c>
      <c r="G144" s="25" t="s">
        <v>429</v>
      </c>
      <c r="H144" s="43"/>
      <c r="I144" s="25" t="s">
        <v>5</v>
      </c>
      <c r="J144" s="44" t="n">
        <f aca="false">IF(I144="EUR",H144*Summary!$C$3,H144)</f>
        <v>0</v>
      </c>
      <c r="K144" s="25" t="s">
        <v>413</v>
      </c>
      <c r="L144" s="25" t="s">
        <v>430</v>
      </c>
      <c r="M144" s="26" t="s">
        <v>71</v>
      </c>
    </row>
    <row r="145" customFormat="false" ht="15" hidden="false" customHeight="true" outlineLevel="0" collapsed="false">
      <c r="A145" s="25" t="n">
        <v>144</v>
      </c>
      <c r="B145" s="25" t="s">
        <v>38</v>
      </c>
      <c r="C145" s="25" t="s">
        <v>39</v>
      </c>
      <c r="D145" s="25" t="s">
        <v>431</v>
      </c>
      <c r="E145" s="25"/>
      <c r="F145" s="25" t="n">
        <v>1</v>
      </c>
      <c r="G145" s="25" t="s">
        <v>56</v>
      </c>
      <c r="H145" s="43" t="n">
        <v>140.23</v>
      </c>
      <c r="I145" s="25" t="s">
        <v>5</v>
      </c>
      <c r="J145" s="44" t="n">
        <f aca="false">IF(I145="EUR",H145*Summary!$C$3,H145)</f>
        <v>140.23</v>
      </c>
      <c r="K145" s="25" t="s">
        <v>176</v>
      </c>
      <c r="L145" s="25"/>
      <c r="M145" s="26" t="s">
        <v>70</v>
      </c>
    </row>
    <row r="146" customFormat="false" ht="15" hidden="false" customHeight="true" outlineLevel="0" collapsed="false">
      <c r="A146" s="25" t="n">
        <v>145</v>
      </c>
      <c r="B146" s="25" t="s">
        <v>38</v>
      </c>
      <c r="C146" s="25" t="s">
        <v>40</v>
      </c>
      <c r="D146" s="25" t="s">
        <v>432</v>
      </c>
      <c r="E146" s="25" t="s">
        <v>433</v>
      </c>
      <c r="F146" s="25" t="n">
        <v>1</v>
      </c>
      <c r="G146" s="25" t="s">
        <v>56</v>
      </c>
      <c r="H146" s="43" t="n">
        <v>12.69</v>
      </c>
      <c r="I146" s="25" t="s">
        <v>202</v>
      </c>
      <c r="J146" s="44" t="n">
        <f aca="false">IF(I146="EUR",H146*Summary!$C$3,H146)</f>
        <v>139.59</v>
      </c>
      <c r="K146" s="25" t="s">
        <v>176</v>
      </c>
      <c r="L146" s="25"/>
      <c r="M146" s="26" t="s">
        <v>70</v>
      </c>
    </row>
    <row r="147" customFormat="false" ht="15" hidden="false" customHeight="true" outlineLevel="0" collapsed="false">
      <c r="A147" s="25" t="n">
        <v>146</v>
      </c>
      <c r="B147" s="25" t="s">
        <v>38</v>
      </c>
      <c r="C147" s="25" t="s">
        <v>41</v>
      </c>
      <c r="D147" s="25" t="s">
        <v>434</v>
      </c>
      <c r="E147" s="25" t="s">
        <v>435</v>
      </c>
      <c r="F147" s="25" t="n">
        <v>1</v>
      </c>
      <c r="G147" s="25" t="s">
        <v>56</v>
      </c>
      <c r="H147" s="43" t="n">
        <v>181.14</v>
      </c>
      <c r="I147" s="25" t="s">
        <v>5</v>
      </c>
      <c r="J147" s="44" t="n">
        <f aca="false">IF(I147="EUR",H147*Summary!$C$3,H147)</f>
        <v>181.14</v>
      </c>
      <c r="K147" s="25" t="s">
        <v>176</v>
      </c>
      <c r="L147" s="25"/>
      <c r="M147" s="26" t="s">
        <v>70</v>
      </c>
    </row>
    <row r="148" customFormat="false" ht="15" hidden="false" customHeight="true" outlineLevel="0" collapsed="false">
      <c r="A148" s="25" t="n">
        <v>147</v>
      </c>
      <c r="B148" s="25" t="s">
        <v>42</v>
      </c>
      <c r="C148" s="25" t="s">
        <v>43</v>
      </c>
      <c r="D148" s="25" t="s">
        <v>436</v>
      </c>
      <c r="E148" s="25"/>
      <c r="F148" s="25" t="n">
        <v>1</v>
      </c>
      <c r="G148" s="25" t="s">
        <v>58</v>
      </c>
      <c r="H148" s="43" t="n">
        <v>137.83</v>
      </c>
      <c r="I148" s="25" t="s">
        <v>5</v>
      </c>
      <c r="J148" s="44" t="n">
        <f aca="false">IF(I148="EUR",H148*Summary!$C$3,H148)</f>
        <v>137.83</v>
      </c>
      <c r="K148" s="25" t="s">
        <v>183</v>
      </c>
      <c r="L148" s="25" t="s">
        <v>184</v>
      </c>
      <c r="M148" s="26" t="s">
        <v>70</v>
      </c>
    </row>
    <row r="149" customFormat="false" ht="15" hidden="false" customHeight="true" outlineLevel="0" collapsed="false">
      <c r="A149" s="25" t="n">
        <v>148</v>
      </c>
      <c r="B149" s="25" t="s">
        <v>42</v>
      </c>
      <c r="C149" s="25" t="s">
        <v>43</v>
      </c>
      <c r="D149" s="25" t="s">
        <v>437</v>
      </c>
      <c r="E149" s="25"/>
      <c r="F149" s="25" t="n">
        <v>1</v>
      </c>
      <c r="G149" s="25" t="s">
        <v>59</v>
      </c>
      <c r="H149" s="43" t="n">
        <v>26.85</v>
      </c>
      <c r="I149" s="25" t="s">
        <v>202</v>
      </c>
      <c r="J149" s="44" t="n">
        <f aca="false">IF(I149="EUR",H149*Summary!$C$3,H149)</f>
        <v>295.35</v>
      </c>
      <c r="K149" s="25" t="s">
        <v>183</v>
      </c>
      <c r="L149" s="25"/>
      <c r="M149" s="26" t="s">
        <v>71</v>
      </c>
    </row>
    <row r="150" customFormat="false" ht="15" hidden="false" customHeight="true" outlineLevel="0" collapsed="false">
      <c r="A150" s="25" t="n">
        <v>149</v>
      </c>
      <c r="B150" s="25" t="s">
        <v>42</v>
      </c>
      <c r="C150" s="25" t="s">
        <v>43</v>
      </c>
      <c r="D150" s="25" t="s">
        <v>438</v>
      </c>
      <c r="E150" s="25"/>
      <c r="F150" s="25" t="n">
        <v>1</v>
      </c>
      <c r="G150" s="25" t="s">
        <v>63</v>
      </c>
      <c r="H150" s="43" t="n">
        <v>22</v>
      </c>
      <c r="I150" s="25" t="s">
        <v>202</v>
      </c>
      <c r="J150" s="44" t="n">
        <f aca="false">IF(I150="EUR",H150*Summary!$C$3,H150)</f>
        <v>242</v>
      </c>
      <c r="K150" s="25" t="s">
        <v>183</v>
      </c>
      <c r="L150" s="25"/>
      <c r="M150" s="26" t="s">
        <v>70</v>
      </c>
    </row>
    <row r="151" customFormat="false" ht="15" hidden="false" customHeight="true" outlineLevel="0" collapsed="false">
      <c r="A151" s="25" t="n">
        <v>150</v>
      </c>
      <c r="B151" s="25" t="s">
        <v>42</v>
      </c>
      <c r="C151" s="25" t="s">
        <v>43</v>
      </c>
      <c r="D151" s="25" t="s">
        <v>439</v>
      </c>
      <c r="E151" s="25"/>
      <c r="F151" s="25" t="n">
        <v>1</v>
      </c>
      <c r="G151" s="25" t="s">
        <v>62</v>
      </c>
      <c r="H151" s="43" t="n">
        <v>59</v>
      </c>
      <c r="I151" s="25" t="s">
        <v>5</v>
      </c>
      <c r="J151" s="44" t="n">
        <f aca="false">IF(I151="EUR",H151*Summary!$C$3,H151)</f>
        <v>59</v>
      </c>
      <c r="K151" s="25" t="s">
        <v>183</v>
      </c>
      <c r="L151" s="25" t="s">
        <v>184</v>
      </c>
      <c r="M151" s="26" t="s">
        <v>70</v>
      </c>
    </row>
    <row r="152" customFormat="false" ht="15" hidden="false" customHeight="true" outlineLevel="0" collapsed="false">
      <c r="A152" s="25" t="n">
        <v>151</v>
      </c>
      <c r="B152" s="25" t="s">
        <v>42</v>
      </c>
      <c r="C152" s="25" t="s">
        <v>43</v>
      </c>
      <c r="D152" s="25" t="s">
        <v>440</v>
      </c>
      <c r="E152" s="25"/>
      <c r="F152" s="25" t="n">
        <v>1</v>
      </c>
      <c r="G152" s="25" t="s">
        <v>60</v>
      </c>
      <c r="H152" s="43" t="n">
        <v>15.76</v>
      </c>
      <c r="I152" s="25" t="s">
        <v>202</v>
      </c>
      <c r="J152" s="44" t="n">
        <f aca="false">IF(I152="EUR",H152*Summary!$C$3,H152)</f>
        <v>173.36</v>
      </c>
      <c r="K152" s="25" t="s">
        <v>183</v>
      </c>
      <c r="L152" s="25"/>
      <c r="M152" s="26" t="s">
        <v>71</v>
      </c>
    </row>
    <row r="153" customFormat="false" ht="15" hidden="false" customHeight="true" outlineLevel="0" collapsed="false">
      <c r="A153" s="25" t="n">
        <v>152</v>
      </c>
      <c r="B153" s="25" t="s">
        <v>42</v>
      </c>
      <c r="C153" s="25" t="s">
        <v>44</v>
      </c>
      <c r="D153" s="25" t="s">
        <v>441</v>
      </c>
      <c r="E153" s="25"/>
      <c r="F153" s="25" t="n">
        <v>1</v>
      </c>
      <c r="G153" s="25" t="s">
        <v>59</v>
      </c>
      <c r="H153" s="43" t="n">
        <v>-15.34</v>
      </c>
      <c r="I153" s="25" t="s">
        <v>202</v>
      </c>
      <c r="J153" s="44" t="n">
        <f aca="false">IF(I153="EUR",H153*Summary!$C$3,H153)</f>
        <v>-168.74</v>
      </c>
      <c r="K153" s="25" t="s">
        <v>183</v>
      </c>
      <c r="L153" s="25"/>
      <c r="M153" s="26" t="s">
        <v>71</v>
      </c>
    </row>
    <row r="154" customFormat="false" ht="15" hidden="false" customHeight="true" outlineLevel="0" collapsed="false">
      <c r="A154" s="25" t="n">
        <v>153</v>
      </c>
      <c r="B154" s="25" t="s">
        <v>42</v>
      </c>
      <c r="C154" s="25" t="s">
        <v>45</v>
      </c>
      <c r="D154" s="25" t="s">
        <v>442</v>
      </c>
      <c r="E154" s="25" t="s">
        <v>443</v>
      </c>
      <c r="F154" s="25" t="n">
        <v>1</v>
      </c>
      <c r="G154" s="25" t="s">
        <v>64</v>
      </c>
      <c r="H154" s="44" t="n">
        <f aca="false">0.25*SUMIF($G$2:$G$158,"MDPC-X",$H$2:$H$158)</f>
        <v>24.9275</v>
      </c>
      <c r="I154" s="25" t="s">
        <v>202</v>
      </c>
      <c r="J154" s="44" t="n">
        <f aca="false">IF(I154="EUR",H154*Summary!$C$3,H154)</f>
        <v>274.2025</v>
      </c>
      <c r="K154" s="25" t="s">
        <v>304</v>
      </c>
      <c r="L154" s="25" t="s">
        <v>444</v>
      </c>
      <c r="M154" s="26" t="s">
        <v>70</v>
      </c>
    </row>
    <row r="155" customFormat="false" ht="15" hidden="false" customHeight="true" outlineLevel="0" collapsed="false">
      <c r="A155" s="25" t="n">
        <v>154</v>
      </c>
      <c r="B155" s="25" t="s">
        <v>42</v>
      </c>
      <c r="C155" s="25" t="s">
        <v>45</v>
      </c>
      <c r="D155" s="25" t="s">
        <v>445</v>
      </c>
      <c r="E155" s="25" t="s">
        <v>446</v>
      </c>
      <c r="F155" s="25" t="n">
        <v>1</v>
      </c>
      <c r="G155" s="25" t="s">
        <v>64</v>
      </c>
      <c r="H155" s="44" t="n">
        <f aca="false">0.25*(SUMIF($G$2:$G$158,"Alphacool",$H$2:$H$158)+SUMIF($G$2:$G$158,"Order #81860",$H$2:$H$158))</f>
        <v>48.2675</v>
      </c>
      <c r="I155" s="25" t="s">
        <v>202</v>
      </c>
      <c r="J155" s="44" t="n">
        <f aca="false">IF(I155="EUR",H155*Summary!$C$3,H155)</f>
        <v>530.9425</v>
      </c>
      <c r="K155" s="25" t="s">
        <v>304</v>
      </c>
      <c r="L155" s="25" t="s">
        <v>444</v>
      </c>
      <c r="M155" s="26" t="s">
        <v>71</v>
      </c>
    </row>
    <row r="156" customFormat="false" ht="15" hidden="false" customHeight="true" outlineLevel="0" collapsed="false">
      <c r="A156" s="25" t="n">
        <v>155</v>
      </c>
      <c r="B156" s="25" t="s">
        <v>46</v>
      </c>
      <c r="C156" s="25" t="s">
        <v>47</v>
      </c>
      <c r="D156" s="25" t="s">
        <v>447</v>
      </c>
      <c r="E156" s="25" t="s">
        <v>448</v>
      </c>
      <c r="F156" s="25" t="n">
        <v>1</v>
      </c>
      <c r="G156" s="25" t="s">
        <v>65</v>
      </c>
      <c r="H156" s="43" t="n">
        <v>-1500</v>
      </c>
      <c r="I156" s="25" t="s">
        <v>5</v>
      </c>
      <c r="J156" s="44" t="n">
        <f aca="false">IF(I156="EUR",H156*Summary!$C$3,H156)</f>
        <v>-1500</v>
      </c>
      <c r="K156" s="25" t="s">
        <v>137</v>
      </c>
      <c r="L156" s="25" t="s">
        <v>449</v>
      </c>
      <c r="M156" s="26" t="s">
        <v>70</v>
      </c>
    </row>
    <row r="157" customFormat="false" ht="15" hidden="false" customHeight="true" outlineLevel="0" collapsed="false">
      <c r="A157" s="25" t="n">
        <v>156</v>
      </c>
      <c r="B157" s="25" t="s">
        <v>46</v>
      </c>
      <c r="C157" s="25" t="s">
        <v>47</v>
      </c>
      <c r="D157" s="25" t="s">
        <v>450</v>
      </c>
      <c r="E157" s="25" t="s">
        <v>451</v>
      </c>
      <c r="F157" s="25" t="n">
        <v>1</v>
      </c>
      <c r="G157" s="25" t="s">
        <v>65</v>
      </c>
      <c r="H157" s="43" t="n">
        <v>-150</v>
      </c>
      <c r="I157" s="25" t="s">
        <v>5</v>
      </c>
      <c r="J157" s="44" t="n">
        <f aca="false">IF(I157="EUR",H157*Summary!$C$3,H157)</f>
        <v>-150</v>
      </c>
      <c r="K157" s="25" t="s">
        <v>137</v>
      </c>
      <c r="L157" s="25" t="s">
        <v>449</v>
      </c>
      <c r="M157" s="26" t="s">
        <v>70</v>
      </c>
    </row>
    <row r="158" customFormat="false" ht="15" hidden="false" customHeight="true" outlineLevel="0" collapsed="false">
      <c r="A158" s="25" t="n">
        <v>157</v>
      </c>
      <c r="B158" s="25" t="s">
        <v>48</v>
      </c>
      <c r="C158" s="25" t="s">
        <v>49</v>
      </c>
      <c r="D158" s="25" t="s">
        <v>452</v>
      </c>
      <c r="E158" s="25" t="s">
        <v>453</v>
      </c>
      <c r="F158" s="25" t="n">
        <v>1</v>
      </c>
      <c r="G158" s="25" t="s">
        <v>56</v>
      </c>
      <c r="H158" s="43" t="n">
        <v>94.59</v>
      </c>
      <c r="I158" s="25" t="s">
        <v>5</v>
      </c>
      <c r="J158" s="44" t="n">
        <f aca="false">IF(I158="EUR",H158*Summary!$C$3,H158)</f>
        <v>94.59</v>
      </c>
      <c r="K158" s="25" t="s">
        <v>176</v>
      </c>
      <c r="L158" s="25"/>
      <c r="M158" s="26" t="s">
        <v>48</v>
      </c>
    </row>
    <row r="160" customFormat="false" ht="15" hidden="false" customHeight="true" outlineLevel="0" collapsed="false">
      <c r="I160" s="13" t="s">
        <v>66</v>
      </c>
      <c r="J160" s="45" t="n">
        <f aca="false">SUM(J2:J158)</f>
        <v>20005.775</v>
      </c>
    </row>
    <row r="162" customFormat="false" ht="15" hidden="false" customHeight="true" outlineLevel="0" collapsed="false">
      <c r="B162" s="5" t="s">
        <v>454</v>
      </c>
    </row>
    <row r="163" customFormat="false" ht="15" hidden="false" customHeight="true" outlineLevel="0" collapsed="false">
      <c r="B163" s="5" t="s">
        <v>455</v>
      </c>
    </row>
  </sheetData>
  <autoFilter ref="A1:M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20"/>
  </cols>
  <sheetData>
    <row r="1" customFormat="false" ht="30" hidden="false" customHeight="true" outlineLevel="0" collapsed="false">
      <c r="A1" s="24" t="s">
        <v>169</v>
      </c>
      <c r="B1" s="24" t="s">
        <v>456</v>
      </c>
      <c r="C1" s="24" t="s">
        <v>457</v>
      </c>
      <c r="D1" s="24" t="s">
        <v>78</v>
      </c>
      <c r="E1" s="24" t="s">
        <v>458</v>
      </c>
      <c r="F1" s="24" t="s">
        <v>459</v>
      </c>
      <c r="G1" s="24" t="s">
        <v>460</v>
      </c>
      <c r="H1" s="24" t="s">
        <v>461</v>
      </c>
      <c r="I1" s="24" t="s">
        <v>88</v>
      </c>
    </row>
    <row r="2" customFormat="false" ht="15" hidden="false" customHeight="false" outlineLevel="0" collapsed="false">
      <c r="A2" s="46" t="n">
        <v>1</v>
      </c>
      <c r="B2" s="46" t="s">
        <v>462</v>
      </c>
      <c r="C2" s="34" t="s">
        <v>463</v>
      </c>
      <c r="D2" s="46" t="s">
        <v>464</v>
      </c>
      <c r="E2" s="34" t="s">
        <v>465</v>
      </c>
      <c r="F2" s="47" t="n">
        <v>3</v>
      </c>
      <c r="G2" s="47" t="n">
        <v>107</v>
      </c>
      <c r="H2" s="46" t="str">
        <f aca="false">IF(G2="","Not in list",IFERROR(INDEX(Components!$K$2:$K$158,MATCH(G2,Components!$A$2:$A$158,0)),"Not in list"))</f>
        <v>Awaiting delivery</v>
      </c>
      <c r="I2" s="34"/>
    </row>
    <row r="3" customFormat="false" ht="15" hidden="false" customHeight="false" outlineLevel="0" collapsed="false">
      <c r="A3" s="46" t="n">
        <v>2</v>
      </c>
      <c r="B3" s="46" t="s">
        <v>462</v>
      </c>
      <c r="C3" s="34" t="s">
        <v>466</v>
      </c>
      <c r="D3" s="46" t="s">
        <v>351</v>
      </c>
      <c r="E3" s="34" t="s">
        <v>467</v>
      </c>
      <c r="F3" s="47" t="n">
        <v>1</v>
      </c>
      <c r="G3" s="47" t="n">
        <v>104</v>
      </c>
      <c r="H3" s="46" t="str">
        <f aca="false">IF(G3="","Not in list",IFERROR(INDEX(Components!$K$2:$K$158,MATCH(G3,Components!$A$2:$A$158,0)),"Not in list"))</f>
        <v>Awaiting delivery</v>
      </c>
      <c r="I3" s="34"/>
    </row>
    <row r="4" customFormat="false" ht="15" hidden="false" customHeight="false" outlineLevel="0" collapsed="false">
      <c r="A4" s="46" t="n">
        <v>3</v>
      </c>
      <c r="B4" s="46" t="s">
        <v>462</v>
      </c>
      <c r="C4" s="34" t="s">
        <v>468</v>
      </c>
      <c r="D4" s="46" t="s">
        <v>351</v>
      </c>
      <c r="E4" s="34" t="s">
        <v>469</v>
      </c>
      <c r="F4" s="47" t="n">
        <v>2</v>
      </c>
      <c r="G4" s="47" t="n">
        <v>103</v>
      </c>
      <c r="H4" s="46" t="str">
        <f aca="false">IF(G4="","Not in list",IFERROR(INDEX(Components!$K$2:$K$158,MATCH(G4,Components!$A$2:$A$158,0)),"Not in list"))</f>
        <v>Awaiting delivery</v>
      </c>
      <c r="I4" s="34"/>
    </row>
    <row r="5" customFormat="false" ht="15" hidden="false" customHeight="false" outlineLevel="0" collapsed="false">
      <c r="A5" s="46" t="n">
        <v>4</v>
      </c>
      <c r="B5" s="46" t="s">
        <v>462</v>
      </c>
      <c r="C5" s="34" t="s">
        <v>470</v>
      </c>
      <c r="D5" s="46" t="s">
        <v>345</v>
      </c>
      <c r="E5" s="34" t="s">
        <v>471</v>
      </c>
      <c r="F5" s="47" t="n">
        <v>1</v>
      </c>
      <c r="G5" s="47" t="n">
        <v>100</v>
      </c>
      <c r="H5" s="46" t="str">
        <f aca="false">IF(G5="","Not in list",IFERROR(INDEX(Components!$K$2:$K$158,MATCH(G5,Components!$A$2:$A$158,0)),"Not in list"))</f>
        <v>Awaiting delivery</v>
      </c>
      <c r="I5" s="34"/>
    </row>
    <row r="6" customFormat="false" ht="26.85" hidden="false" customHeight="false" outlineLevel="0" collapsed="false">
      <c r="A6" s="46" t="n">
        <v>5</v>
      </c>
      <c r="B6" s="46" t="s">
        <v>462</v>
      </c>
      <c r="C6" s="34" t="s">
        <v>472</v>
      </c>
      <c r="D6" s="46" t="s">
        <v>473</v>
      </c>
      <c r="E6" s="34" t="s">
        <v>474</v>
      </c>
      <c r="F6" s="47" t="n">
        <v>3</v>
      </c>
      <c r="G6" s="47" t="n">
        <v>85</v>
      </c>
      <c r="H6" s="46" t="str">
        <f aca="false">IF(G6="","Not in list",IFERROR(INDEX(Components!$K$2:$K$158,MATCH(G6,Components!$A$2:$A$158,0)),"Not in list"))</f>
        <v>Processing</v>
      </c>
      <c r="I6" s="34"/>
    </row>
    <row r="7" customFormat="false" ht="15" hidden="false" customHeight="false" outlineLevel="0" collapsed="false">
      <c r="A7" s="46" t="n">
        <v>6</v>
      </c>
      <c r="B7" s="46" t="s">
        <v>462</v>
      </c>
      <c r="C7" s="34" t="s">
        <v>475</v>
      </c>
      <c r="D7" s="46" t="s">
        <v>476</v>
      </c>
      <c r="E7" s="34" t="s">
        <v>477</v>
      </c>
      <c r="F7" s="47" t="n">
        <v>1</v>
      </c>
      <c r="G7" s="47" t="n">
        <v>84</v>
      </c>
      <c r="H7" s="46" t="str">
        <f aca="false">IF(G7="","Not in list",IFERROR(INDEX(Components!$K$2:$K$158,MATCH(G7,Components!$A$2:$A$158,0)),"Not in list"))</f>
        <v>Awaiting delivery</v>
      </c>
      <c r="I7" s="34"/>
    </row>
    <row r="8" customFormat="false" ht="15" hidden="false" customHeight="false" outlineLevel="0" collapsed="false">
      <c r="A8" s="46" t="n">
        <v>7</v>
      </c>
      <c r="B8" s="46" t="s">
        <v>462</v>
      </c>
      <c r="C8" s="34" t="s">
        <v>478</v>
      </c>
      <c r="D8" s="46" t="s">
        <v>479</v>
      </c>
      <c r="E8" s="34" t="s">
        <v>480</v>
      </c>
      <c r="F8" s="47" t="n">
        <v>3</v>
      </c>
      <c r="G8" s="47" t="n">
        <v>86</v>
      </c>
      <c r="H8" s="46" t="str">
        <f aca="false">IF(G8="","Not in list",IFERROR(INDEX(Components!$K$2:$K$158,MATCH(G8,Components!$A$2:$A$158,0)),"Not in list"))</f>
        <v>Processing</v>
      </c>
      <c r="I8" s="34"/>
    </row>
    <row r="9" customFormat="false" ht="15" hidden="false" customHeight="false" outlineLevel="0" collapsed="false">
      <c r="A9" s="46" t="n">
        <v>8</v>
      </c>
      <c r="B9" s="46" t="s">
        <v>462</v>
      </c>
      <c r="C9" s="34" t="s">
        <v>481</v>
      </c>
      <c r="D9" s="46" t="s">
        <v>326</v>
      </c>
      <c r="E9" s="34" t="s">
        <v>482</v>
      </c>
      <c r="F9" s="47" t="n">
        <v>2</v>
      </c>
      <c r="G9" s="47" t="n">
        <v>88</v>
      </c>
      <c r="H9" s="46" t="str">
        <f aca="false">IF(G9="","Not in list",IFERROR(INDEX(Components!$K$2:$K$158,MATCH(G9,Components!$A$2:$A$158,0)),"Not in list"))</f>
        <v>Awaiting delivery</v>
      </c>
      <c r="I9" s="34"/>
    </row>
    <row r="10" customFormat="false" ht="15" hidden="false" customHeight="false" outlineLevel="0" collapsed="false">
      <c r="A10" s="46" t="n">
        <v>9</v>
      </c>
      <c r="B10" s="46" t="s">
        <v>462</v>
      </c>
      <c r="C10" s="34" t="s">
        <v>483</v>
      </c>
      <c r="D10" s="46" t="s">
        <v>484</v>
      </c>
      <c r="E10" s="34" t="s">
        <v>485</v>
      </c>
      <c r="F10" s="47" t="n">
        <v>3</v>
      </c>
      <c r="G10" s="47" t="n">
        <v>136</v>
      </c>
      <c r="H10" s="46" t="str">
        <f aca="false">IF(G10="","Not in list",IFERROR(INDEX(Components!$K$2:$K$158,MATCH(G10,Components!$A$2:$A$158,0)),"Not in list"))</f>
        <v>Ordered</v>
      </c>
      <c r="I10" s="34"/>
    </row>
    <row r="11" customFormat="false" ht="15" hidden="false" customHeight="false" outlineLevel="0" collapsed="false">
      <c r="A11" s="46" t="n">
        <v>10</v>
      </c>
      <c r="B11" s="46" t="s">
        <v>462</v>
      </c>
      <c r="C11" s="34" t="s">
        <v>486</v>
      </c>
      <c r="D11" s="46" t="s">
        <v>487</v>
      </c>
      <c r="E11" s="34" t="s">
        <v>488</v>
      </c>
      <c r="F11" s="47" t="n">
        <v>3</v>
      </c>
      <c r="G11" s="47" t="n">
        <v>136</v>
      </c>
      <c r="H11" s="46" t="str">
        <f aca="false">IF(G11="","Not in list",IFERROR(INDEX(Components!$K$2:$K$158,MATCH(G11,Components!$A$2:$A$158,0)),"Not in list"))</f>
        <v>Ordered</v>
      </c>
      <c r="I11" s="34"/>
    </row>
    <row r="12" customFormat="false" ht="15" hidden="false" customHeight="false" outlineLevel="0" collapsed="false">
      <c r="A12" s="46" t="n">
        <v>11</v>
      </c>
      <c r="B12" s="46" t="s">
        <v>462</v>
      </c>
      <c r="C12" s="34" t="s">
        <v>489</v>
      </c>
      <c r="D12" s="46" t="s">
        <v>490</v>
      </c>
      <c r="E12" s="34" t="s">
        <v>491</v>
      </c>
      <c r="F12" s="47" t="n">
        <v>4</v>
      </c>
      <c r="G12" s="47" t="n">
        <v>94</v>
      </c>
      <c r="H12" s="46" t="str">
        <f aca="false">IF(G12="","Not in list",IFERROR(INDEX(Components!$K$2:$K$158,MATCH(G12,Components!$A$2:$A$158,0)),"Not in list"))</f>
        <v>Awaiting delivery</v>
      </c>
      <c r="I12" s="34"/>
    </row>
    <row r="13" customFormat="false" ht="15" hidden="false" customHeight="false" outlineLevel="0" collapsed="false">
      <c r="A13" s="46" t="n">
        <v>12</v>
      </c>
      <c r="B13" s="46" t="s">
        <v>462</v>
      </c>
      <c r="C13" s="34" t="s">
        <v>492</v>
      </c>
      <c r="D13" s="46" t="s">
        <v>493</v>
      </c>
      <c r="E13" s="34" t="s">
        <v>494</v>
      </c>
      <c r="F13" s="47" t="n">
        <v>3</v>
      </c>
      <c r="G13" s="47" t="n">
        <v>136</v>
      </c>
      <c r="H13" s="46" t="str">
        <f aca="false">IF(G13="","Not in list",IFERROR(INDEX(Components!$K$2:$K$158,MATCH(G13,Components!$A$2:$A$158,0)),"Not in list"))</f>
        <v>Ordered</v>
      </c>
      <c r="I13" s="34"/>
    </row>
    <row r="14" customFormat="false" ht="15" hidden="false" customHeight="false" outlineLevel="0" collapsed="false">
      <c r="A14" s="46" t="n">
        <v>13</v>
      </c>
      <c r="B14" s="46" t="s">
        <v>462</v>
      </c>
      <c r="C14" s="34" t="s">
        <v>495</v>
      </c>
      <c r="D14" s="46" t="s">
        <v>496</v>
      </c>
      <c r="E14" s="34" t="s">
        <v>497</v>
      </c>
      <c r="F14" s="47" t="n">
        <v>3</v>
      </c>
      <c r="G14" s="47" t="n">
        <v>136</v>
      </c>
      <c r="H14" s="46" t="str">
        <f aca="false">IF(G14="","Not in list",IFERROR(INDEX(Components!$K$2:$K$158,MATCH(G14,Components!$A$2:$A$158,0)),"Not in list"))</f>
        <v>Ordered</v>
      </c>
      <c r="I14" s="34"/>
    </row>
    <row r="15" customFormat="false" ht="15" hidden="false" customHeight="false" outlineLevel="0" collapsed="false">
      <c r="A15" s="46" t="n">
        <v>14</v>
      </c>
      <c r="B15" s="46" t="s">
        <v>462</v>
      </c>
      <c r="C15" s="34" t="s">
        <v>498</v>
      </c>
      <c r="D15" s="46" t="s">
        <v>499</v>
      </c>
      <c r="E15" s="34" t="s">
        <v>500</v>
      </c>
      <c r="F15" s="47" t="n">
        <v>1</v>
      </c>
      <c r="G15" s="47" t="n">
        <v>136</v>
      </c>
      <c r="H15" s="46" t="str">
        <f aca="false">IF(G15="","Not in list",IFERROR(INDEX(Components!$K$2:$K$158,MATCH(G15,Components!$A$2:$A$158,0)),"Not in list"))</f>
        <v>Ordered</v>
      </c>
      <c r="I15" s="34"/>
    </row>
    <row r="16" customFormat="false" ht="15" hidden="false" customHeight="false" outlineLevel="0" collapsed="false">
      <c r="A16" s="46" t="n">
        <v>15</v>
      </c>
      <c r="B16" s="46" t="s">
        <v>462</v>
      </c>
      <c r="C16" s="34" t="s">
        <v>501</v>
      </c>
      <c r="D16" s="46" t="s">
        <v>502</v>
      </c>
      <c r="E16" s="34" t="s">
        <v>503</v>
      </c>
      <c r="F16" s="47" t="n">
        <v>4</v>
      </c>
      <c r="G16" s="47" t="n">
        <v>115</v>
      </c>
      <c r="H16" s="46" t="str">
        <f aca="false">IF(G16="","Not in list",IFERROR(INDEX(Components!$K$2:$K$158,MATCH(G16,Components!$A$2:$A$158,0)),"Not in list"))</f>
        <v>Awaiting delivery</v>
      </c>
      <c r="I16" s="34"/>
    </row>
    <row r="17" customFormat="false" ht="15" hidden="false" customHeight="false" outlineLevel="0" collapsed="false">
      <c r="A17" s="46" t="n">
        <v>16</v>
      </c>
      <c r="B17" s="46" t="s">
        <v>462</v>
      </c>
      <c r="C17" s="34" t="s">
        <v>504</v>
      </c>
      <c r="D17" s="46" t="s">
        <v>505</v>
      </c>
      <c r="E17" s="34" t="s">
        <v>506</v>
      </c>
      <c r="F17" s="47" t="n">
        <v>3</v>
      </c>
      <c r="G17" s="47" t="n">
        <v>138</v>
      </c>
      <c r="H17" s="46" t="str">
        <f aca="false">IF(G17="","Not in list",IFERROR(INDEX(Components!$K$2:$K$158,MATCH(G17,Components!$A$2:$A$158,0)),"Not in list"))</f>
        <v>Bought</v>
      </c>
      <c r="I17" s="34"/>
    </row>
    <row r="18" customFormat="false" ht="15" hidden="false" customHeight="false" outlineLevel="0" collapsed="false">
      <c r="A18" s="46" t="n">
        <v>17</v>
      </c>
      <c r="B18" s="46" t="s">
        <v>462</v>
      </c>
      <c r="C18" s="34" t="s">
        <v>507</v>
      </c>
      <c r="D18" s="46" t="s">
        <v>508</v>
      </c>
      <c r="E18" s="34" t="s">
        <v>509</v>
      </c>
      <c r="F18" s="47" t="n">
        <v>1</v>
      </c>
      <c r="G18" s="47" t="n">
        <v>139</v>
      </c>
      <c r="H18" s="46" t="str">
        <f aca="false">IF(G18="","Not in list",IFERROR(INDEX(Components!$K$2:$K$158,MATCH(G18,Components!$A$2:$A$158,0)),"Not in list"))</f>
        <v>To order</v>
      </c>
      <c r="I18" s="34"/>
    </row>
    <row r="19" customFormat="false" ht="15" hidden="false" customHeight="false" outlineLevel="0" collapsed="false">
      <c r="A19" s="46" t="n">
        <v>18</v>
      </c>
      <c r="B19" s="46" t="s">
        <v>462</v>
      </c>
      <c r="C19" s="34" t="s">
        <v>510</v>
      </c>
      <c r="D19" s="46" t="s">
        <v>511</v>
      </c>
      <c r="E19" s="34" t="s">
        <v>512</v>
      </c>
      <c r="F19" s="47" t="n">
        <v>1</v>
      </c>
      <c r="G19" s="47" t="n">
        <v>143</v>
      </c>
      <c r="H19" s="46" t="str">
        <f aca="false">IF(G19="","Not in list",IFERROR(INDEX(Components!$K$2:$K$158,MATCH(G19,Components!$A$2:$A$158,0)),"Not in list"))</f>
        <v>Bought</v>
      </c>
      <c r="I19" s="34"/>
    </row>
    <row r="20" customFormat="false" ht="26.85" hidden="false" customHeight="false" outlineLevel="0" collapsed="false">
      <c r="A20" s="46" t="n">
        <v>19</v>
      </c>
      <c r="B20" s="46" t="s">
        <v>513</v>
      </c>
      <c r="C20" s="34" t="s">
        <v>514</v>
      </c>
      <c r="D20" s="46" t="s">
        <v>508</v>
      </c>
      <c r="E20" s="34" t="s">
        <v>515</v>
      </c>
      <c r="F20" s="47" t="n">
        <v>2</v>
      </c>
      <c r="G20" s="47" t="n">
        <v>139</v>
      </c>
      <c r="H20" s="46" t="str">
        <f aca="false">IF(G20="","Not in list",IFERROR(INDEX(Components!$K$2:$K$158,MATCH(G20,Components!$A$2:$A$158,0)),"Not in list"))</f>
        <v>To order</v>
      </c>
      <c r="I20" s="34"/>
    </row>
    <row r="21" customFormat="false" ht="26.85" hidden="false" customHeight="false" outlineLevel="0" collapsed="false">
      <c r="A21" s="46" t="n">
        <v>20</v>
      </c>
      <c r="B21" s="46" t="s">
        <v>513</v>
      </c>
      <c r="C21" s="34" t="s">
        <v>516</v>
      </c>
      <c r="D21" s="46" t="s">
        <v>517</v>
      </c>
      <c r="E21" s="34" t="s">
        <v>518</v>
      </c>
      <c r="F21" s="47" t="n">
        <v>18</v>
      </c>
      <c r="G21" s="47" t="n">
        <v>116</v>
      </c>
      <c r="H21" s="46" t="str">
        <f aca="false">IF(G21="","Not in list",IFERROR(INDEX(Components!$K$2:$K$158,MATCH(G21,Components!$A$2:$A$158,0)),"Not in list"))</f>
        <v>Processing</v>
      </c>
      <c r="I21" s="34"/>
    </row>
    <row r="22" customFormat="false" ht="26.85" hidden="false" customHeight="false" outlineLevel="0" collapsed="false">
      <c r="A22" s="46" t="n">
        <v>21</v>
      </c>
      <c r="B22" s="46" t="s">
        <v>513</v>
      </c>
      <c r="C22" s="34" t="s">
        <v>519</v>
      </c>
      <c r="D22" s="46" t="s">
        <v>520</v>
      </c>
      <c r="E22" s="34" t="s">
        <v>521</v>
      </c>
      <c r="F22" s="47" t="n">
        <v>8</v>
      </c>
      <c r="G22" s="47" t="n">
        <v>98</v>
      </c>
      <c r="H22" s="46" t="str">
        <f aca="false">IF(G22="","Not in list",IFERROR(INDEX(Components!$K$2:$K$158,MATCH(G22,Components!$A$2:$A$158,0)),"Not in list"))</f>
        <v>Awaiting delivery</v>
      </c>
      <c r="I22" s="34"/>
    </row>
    <row r="23" customFormat="false" ht="15" hidden="false" customHeight="false" outlineLevel="0" collapsed="false">
      <c r="A23" s="46" t="n">
        <v>22</v>
      </c>
      <c r="B23" s="46" t="s">
        <v>513</v>
      </c>
      <c r="C23" s="34" t="s">
        <v>522</v>
      </c>
      <c r="D23" s="46" t="s">
        <v>345</v>
      </c>
      <c r="E23" s="34" t="s">
        <v>523</v>
      </c>
      <c r="F23" s="47" t="n">
        <v>1</v>
      </c>
      <c r="G23" s="47" t="n">
        <v>137</v>
      </c>
      <c r="H23" s="46" t="str">
        <f aca="false">IF(G23="","Not in list",IFERROR(INDEX(Components!$K$2:$K$158,MATCH(G23,Components!$A$2:$A$158,0)),"Not in list"))</f>
        <v>Ordered</v>
      </c>
      <c r="I23" s="34"/>
    </row>
    <row r="24" customFormat="false" ht="26.85" hidden="false" customHeight="false" outlineLevel="0" collapsed="false">
      <c r="A24" s="46" t="n">
        <v>23</v>
      </c>
      <c r="B24" s="46" t="s">
        <v>513</v>
      </c>
      <c r="C24" s="34" t="s">
        <v>524</v>
      </c>
      <c r="D24" s="46" t="s">
        <v>490</v>
      </c>
      <c r="E24" s="34" t="s">
        <v>525</v>
      </c>
      <c r="F24" s="47" t="n">
        <v>8</v>
      </c>
      <c r="G24" s="47" t="n">
        <v>94</v>
      </c>
      <c r="H24" s="46" t="str">
        <f aca="false">IF(G24="","Not in list",IFERROR(INDEX(Components!$K$2:$K$158,MATCH(G24,Components!$A$2:$A$158,0)),"Not in list"))</f>
        <v>Awaiting delivery</v>
      </c>
      <c r="I24" s="34"/>
    </row>
    <row r="25" customFormat="false" ht="15" hidden="false" customHeight="false" outlineLevel="0" collapsed="false">
      <c r="A25" s="46" t="n">
        <v>24</v>
      </c>
      <c r="B25" s="46" t="s">
        <v>513</v>
      </c>
      <c r="C25" s="34" t="s">
        <v>526</v>
      </c>
      <c r="D25" s="46" t="s">
        <v>527</v>
      </c>
      <c r="E25" s="34" t="s">
        <v>528</v>
      </c>
      <c r="F25" s="47" t="n">
        <v>2</v>
      </c>
      <c r="G25" s="47" t="n">
        <v>95</v>
      </c>
      <c r="H25" s="46" t="str">
        <f aca="false">IF(G25="","Not in list",IFERROR(INDEX(Components!$K$2:$K$158,MATCH(G25,Components!$A$2:$A$158,0)),"Not in list"))</f>
        <v>Awaiting delivery</v>
      </c>
      <c r="I25" s="34"/>
    </row>
    <row r="26" customFormat="false" ht="26.85" hidden="false" customHeight="false" outlineLevel="0" collapsed="false">
      <c r="A26" s="46" t="n">
        <v>25</v>
      </c>
      <c r="B26" s="46" t="s">
        <v>513</v>
      </c>
      <c r="C26" s="34" t="s">
        <v>529</v>
      </c>
      <c r="D26" s="46" t="s">
        <v>493</v>
      </c>
      <c r="E26" s="34" t="s">
        <v>530</v>
      </c>
      <c r="F26" s="47" t="n">
        <v>6</v>
      </c>
      <c r="G26" s="47" t="n">
        <v>136</v>
      </c>
      <c r="H26" s="46" t="str">
        <f aca="false">IF(G26="","Not in list",IFERROR(INDEX(Components!$K$2:$K$158,MATCH(G26,Components!$A$2:$A$158,0)),"Not in list"))</f>
        <v>Ordered</v>
      </c>
      <c r="I26" s="34"/>
    </row>
    <row r="27" customFormat="false" ht="15" hidden="false" customHeight="false" outlineLevel="0" collapsed="false">
      <c r="A27" s="46" t="n">
        <v>26</v>
      </c>
      <c r="B27" s="46" t="s">
        <v>513</v>
      </c>
      <c r="C27" s="34" t="s">
        <v>531</v>
      </c>
      <c r="D27" s="46" t="s">
        <v>532</v>
      </c>
      <c r="E27" s="34" t="s">
        <v>533</v>
      </c>
      <c r="F27" s="47" t="n">
        <v>4</v>
      </c>
      <c r="G27" s="47" t="n">
        <v>136</v>
      </c>
      <c r="H27" s="46" t="str">
        <f aca="false">IF(G27="","Not in list",IFERROR(INDEX(Components!$K$2:$K$158,MATCH(G27,Components!$A$2:$A$158,0)),"Not in list"))</f>
        <v>Ordered</v>
      </c>
      <c r="I27" s="34"/>
    </row>
    <row r="28" customFormat="false" ht="15" hidden="false" customHeight="false" outlineLevel="0" collapsed="false">
      <c r="A28" s="46" t="n">
        <v>27</v>
      </c>
      <c r="B28" s="46" t="s">
        <v>513</v>
      </c>
      <c r="C28" s="34" t="s">
        <v>534</v>
      </c>
      <c r="D28" s="46" t="s">
        <v>535</v>
      </c>
      <c r="E28" s="34" t="s">
        <v>536</v>
      </c>
      <c r="F28" s="47" t="n">
        <v>1</v>
      </c>
      <c r="G28" s="47" t="n">
        <v>136</v>
      </c>
      <c r="H28" s="46" t="str">
        <f aca="false">IF(G28="","Not in list",IFERROR(INDEX(Components!$K$2:$K$158,MATCH(G28,Components!$A$2:$A$158,0)),"Not in list"))</f>
        <v>Ordered</v>
      </c>
      <c r="I28" s="34"/>
    </row>
    <row r="29" customFormat="false" ht="15" hidden="false" customHeight="false" outlineLevel="0" collapsed="false">
      <c r="A29" s="46" t="n">
        <v>28</v>
      </c>
      <c r="B29" s="46" t="s">
        <v>513</v>
      </c>
      <c r="C29" s="34" t="s">
        <v>537</v>
      </c>
      <c r="D29" s="46" t="s">
        <v>538</v>
      </c>
      <c r="E29" s="34" t="s">
        <v>539</v>
      </c>
      <c r="F29" s="47" t="n">
        <v>2</v>
      </c>
      <c r="G29" s="47" t="n">
        <v>136</v>
      </c>
      <c r="H29" s="46" t="str">
        <f aca="false">IF(G29="","Not in list",IFERROR(INDEX(Components!$K$2:$K$158,MATCH(G29,Components!$A$2:$A$158,0)),"Not in list"))</f>
        <v>Ordered</v>
      </c>
      <c r="I29" s="34"/>
    </row>
    <row r="30" customFormat="false" ht="15" hidden="false" customHeight="false" outlineLevel="0" collapsed="false">
      <c r="A30" s="46" t="n">
        <v>29</v>
      </c>
      <c r="B30" s="46" t="s">
        <v>513</v>
      </c>
      <c r="C30" s="34" t="s">
        <v>510</v>
      </c>
      <c r="D30" s="46" t="s">
        <v>511</v>
      </c>
      <c r="E30" s="34" t="s">
        <v>540</v>
      </c>
      <c r="F30" s="47" t="n">
        <v>1</v>
      </c>
      <c r="G30" s="47" t="n">
        <v>143</v>
      </c>
      <c r="H30" s="46" t="str">
        <f aca="false">IF(G30="","Not in list",IFERROR(INDEX(Components!$K$2:$K$158,MATCH(G30,Components!$A$2:$A$158,0)),"Not in list"))</f>
        <v>Bought</v>
      </c>
      <c r="I30" s="34"/>
    </row>
    <row r="31" customFormat="false" ht="15" hidden="false" customHeight="false" outlineLevel="0" collapsed="false">
      <c r="A31" s="46" t="n">
        <v>30</v>
      </c>
      <c r="B31" s="46" t="s">
        <v>541</v>
      </c>
      <c r="C31" s="34" t="s">
        <v>542</v>
      </c>
      <c r="D31" s="46" t="s">
        <v>543</v>
      </c>
      <c r="E31" s="34" t="s">
        <v>544</v>
      </c>
      <c r="F31" s="47" t="n">
        <v>3</v>
      </c>
      <c r="G31" s="47" t="n">
        <v>140</v>
      </c>
      <c r="H31" s="46" t="str">
        <f aca="false">IF(G31="","Not in list",IFERROR(INDEX(Components!$K$2:$K$158,MATCH(G31,Components!$A$2:$A$158,0)),"Not in list"))</f>
        <v>To order</v>
      </c>
      <c r="I31" s="34"/>
    </row>
    <row r="32" customFormat="false" ht="15" hidden="false" customHeight="false" outlineLevel="0" collapsed="false">
      <c r="A32" s="46" t="n">
        <v>31</v>
      </c>
      <c r="B32" s="46" t="s">
        <v>541</v>
      </c>
      <c r="C32" s="34" t="s">
        <v>542</v>
      </c>
      <c r="D32" s="46" t="s">
        <v>425</v>
      </c>
      <c r="E32" s="34" t="s">
        <v>545</v>
      </c>
      <c r="F32" s="47" t="n">
        <v>1</v>
      </c>
      <c r="G32" s="47" t="n">
        <v>142</v>
      </c>
      <c r="H32" s="46" t="str">
        <f aca="false">IF(G32="","Not in list",IFERROR(INDEX(Components!$K$2:$K$158,MATCH(G32,Components!$A$2:$A$158,0)),"Not in list"))</f>
        <v>Bought</v>
      </c>
      <c r="I32" s="34"/>
    </row>
    <row r="33" customFormat="false" ht="15" hidden="false" customHeight="false" outlineLevel="0" collapsed="false">
      <c r="A33" s="46" t="n">
        <v>32</v>
      </c>
      <c r="B33" s="46" t="s">
        <v>541</v>
      </c>
      <c r="C33" s="34" t="s">
        <v>546</v>
      </c>
      <c r="D33" s="46" t="s">
        <v>547</v>
      </c>
      <c r="E33" s="34" t="s">
        <v>548</v>
      </c>
      <c r="F33" s="47" t="n">
        <v>32</v>
      </c>
      <c r="G33" s="47" t="n">
        <v>118</v>
      </c>
      <c r="H33" s="46" t="str">
        <f aca="false">IF(G33="","Not in list",IFERROR(INDEX(Components!$K$2:$K$158,MATCH(G33,Components!$A$2:$A$158,0)),"Not in list"))</f>
        <v>Processing</v>
      </c>
      <c r="I33" s="34"/>
    </row>
    <row r="34" customFormat="false" ht="15" hidden="false" customHeight="false" outlineLevel="0" collapsed="false">
      <c r="A34" s="46" t="n">
        <v>33</v>
      </c>
      <c r="B34" s="46" t="s">
        <v>541</v>
      </c>
      <c r="C34" s="34" t="s">
        <v>546</v>
      </c>
      <c r="D34" s="46" t="s">
        <v>422</v>
      </c>
      <c r="E34" s="34" t="s">
        <v>549</v>
      </c>
      <c r="F34" s="47" t="n">
        <v>6</v>
      </c>
      <c r="G34" s="47" t="n">
        <v>141</v>
      </c>
      <c r="H34" s="46" t="str">
        <f aca="false">IF(G34="","Not in list",IFERROR(INDEX(Components!$K$2:$K$158,MATCH(G34,Components!$A$2:$A$158,0)),"Not in list"))</f>
        <v>To order</v>
      </c>
      <c r="I34" s="34"/>
    </row>
    <row r="35" customFormat="false" ht="15" hidden="false" customHeight="false" outlineLevel="0" collapsed="false">
      <c r="A35" s="46" t="n">
        <v>34</v>
      </c>
      <c r="B35" s="46" t="s">
        <v>541</v>
      </c>
      <c r="C35" s="34" t="s">
        <v>546</v>
      </c>
      <c r="D35" s="46" t="s">
        <v>550</v>
      </c>
      <c r="E35" s="34" t="s">
        <v>551</v>
      </c>
      <c r="F35" s="47" t="n">
        <v>1</v>
      </c>
      <c r="G35" s="47" t="n">
        <v>121</v>
      </c>
      <c r="H35" s="46" t="str">
        <f aca="false">IF(G35="","Not in list",IFERROR(INDEX(Components!$K$2:$K$158,MATCH(G35,Components!$A$2:$A$158,0)),"Not in list"))</f>
        <v>Processing</v>
      </c>
      <c r="I35" s="34"/>
    </row>
    <row r="36" customFormat="false" ht="15" hidden="false" customHeight="false" outlineLevel="0" collapsed="false">
      <c r="A36" s="46" t="n">
        <v>35</v>
      </c>
      <c r="B36" s="46" t="s">
        <v>541</v>
      </c>
      <c r="C36" s="34" t="s">
        <v>546</v>
      </c>
      <c r="D36" s="46" t="s">
        <v>552</v>
      </c>
      <c r="E36" s="34" t="s">
        <v>553</v>
      </c>
      <c r="F36" s="47" t="n">
        <v>1</v>
      </c>
      <c r="G36" s="47" t="n">
        <v>120</v>
      </c>
      <c r="H36" s="46" t="str">
        <f aca="false">IF(G36="","Not in list",IFERROR(INDEX(Components!$K$2:$K$158,MATCH(G36,Components!$A$2:$A$158,0)),"Not in list"))</f>
        <v>Processing</v>
      </c>
      <c r="I36" s="34"/>
    </row>
    <row r="37" customFormat="false" ht="15" hidden="false" customHeight="false" outlineLevel="0" collapsed="false">
      <c r="A37" s="46" t="n">
        <v>36</v>
      </c>
      <c r="B37" s="46" t="s">
        <v>541</v>
      </c>
      <c r="C37" s="34" t="s">
        <v>554</v>
      </c>
      <c r="D37" s="46" t="s">
        <v>555</v>
      </c>
      <c r="E37" s="34" t="s">
        <v>556</v>
      </c>
      <c r="F37" s="47" t="n">
        <v>18</v>
      </c>
      <c r="G37" s="47" t="n">
        <v>119</v>
      </c>
      <c r="H37" s="46" t="str">
        <f aca="false">IF(G37="","Not in list",IFERROR(INDEX(Components!$K$2:$K$158,MATCH(G37,Components!$A$2:$A$158,0)),"Not in list"))</f>
        <v>Processing</v>
      </c>
      <c r="I37" s="34"/>
    </row>
    <row r="38" customFormat="false" ht="15" hidden="false" customHeight="false" outlineLevel="0" collapsed="false">
      <c r="A38" s="46" t="n">
        <v>37</v>
      </c>
      <c r="B38" s="46" t="s">
        <v>541</v>
      </c>
      <c r="C38" s="34" t="s">
        <v>470</v>
      </c>
      <c r="D38" s="46" t="s">
        <v>557</v>
      </c>
      <c r="E38" s="34" t="s">
        <v>558</v>
      </c>
      <c r="F38" s="47" t="n">
        <v>2</v>
      </c>
      <c r="G38" s="47" t="n">
        <v>109</v>
      </c>
      <c r="H38" s="46" t="str">
        <f aca="false">IF(G38="","Not in list",IFERROR(INDEX(Components!$K$2:$K$158,MATCH(G38,Components!$A$2:$A$158,0)),"Not in list"))</f>
        <v>Awaiting delivery</v>
      </c>
      <c r="I38" s="34"/>
    </row>
    <row r="39" customFormat="false" ht="15" hidden="false" customHeight="false" outlineLevel="0" collapsed="false">
      <c r="A39" s="46" t="n">
        <v>38</v>
      </c>
      <c r="B39" s="46" t="s">
        <v>541</v>
      </c>
      <c r="C39" s="34" t="s">
        <v>559</v>
      </c>
      <c r="D39" s="46" t="s">
        <v>560</v>
      </c>
      <c r="E39" s="34" t="s">
        <v>561</v>
      </c>
      <c r="F39" s="47" t="n">
        <v>2</v>
      </c>
      <c r="G39" s="47" t="n">
        <v>110</v>
      </c>
      <c r="H39" s="46" t="str">
        <f aca="false">IF(G39="","Not in list",IFERROR(INDEX(Components!$K$2:$K$158,MATCH(G39,Components!$A$2:$A$158,0)),"Not in list"))</f>
        <v>Awaiting delivery</v>
      </c>
      <c r="I39" s="34"/>
    </row>
    <row r="40" customFormat="false" ht="15" hidden="false" customHeight="false" outlineLevel="0" collapsed="false">
      <c r="A40" s="46" t="n">
        <v>39</v>
      </c>
      <c r="B40" s="46" t="s">
        <v>541</v>
      </c>
      <c r="C40" s="34" t="s">
        <v>562</v>
      </c>
      <c r="D40" s="46" t="s">
        <v>563</v>
      </c>
      <c r="E40" s="34" t="s">
        <v>564</v>
      </c>
      <c r="F40" s="47" t="n">
        <v>2</v>
      </c>
      <c r="G40" s="47" t="n">
        <v>111</v>
      </c>
      <c r="H40" s="46" t="str">
        <f aca="false">IF(G40="","Not in list",IFERROR(INDEX(Components!$K$2:$K$158,MATCH(G40,Components!$A$2:$A$158,0)),"Not in list"))</f>
        <v>Awaiting delivery</v>
      </c>
      <c r="I40" s="34"/>
    </row>
    <row r="41" customFormat="false" ht="15" hidden="false" customHeight="false" outlineLevel="0" collapsed="false">
      <c r="A41" s="46" t="n">
        <v>40</v>
      </c>
      <c r="B41" s="46" t="s">
        <v>541</v>
      </c>
      <c r="C41" s="34" t="s">
        <v>510</v>
      </c>
      <c r="D41" s="46" t="s">
        <v>565</v>
      </c>
      <c r="E41" s="34" t="s">
        <v>566</v>
      </c>
      <c r="F41" s="47" t="n">
        <v>0</v>
      </c>
      <c r="G41" s="47" t="n">
        <v>112</v>
      </c>
      <c r="H41" s="46" t="str">
        <f aca="false">IF(G41="","Not in list",IFERROR(INDEX(Components!$K$2:$K$158,MATCH(G41,Components!$A$2:$A$158,0)),"Not in list"))</f>
        <v>Awaiting delivery</v>
      </c>
      <c r="I41" s="34"/>
    </row>
    <row r="42" customFormat="false" ht="26.85" hidden="false" customHeight="false" outlineLevel="0" collapsed="false">
      <c r="A42" s="46" t="n">
        <v>41</v>
      </c>
      <c r="B42" s="46" t="s">
        <v>541</v>
      </c>
      <c r="C42" s="34" t="s">
        <v>567</v>
      </c>
      <c r="D42" s="46" t="s">
        <v>568</v>
      </c>
      <c r="E42" s="34" t="s">
        <v>569</v>
      </c>
      <c r="F42" s="47" t="n">
        <v>2</v>
      </c>
      <c r="G42" s="47" t="n">
        <v>113</v>
      </c>
      <c r="H42" s="46" t="str">
        <f aca="false">IF(G42="","Not in list",IFERROR(INDEX(Components!$K$2:$K$158,MATCH(G42,Components!$A$2:$A$158,0)),"Not in list"))</f>
        <v>Awaiting delivery</v>
      </c>
      <c r="I42" s="34"/>
    </row>
    <row r="43" customFormat="false" ht="15" hidden="false" customHeight="false" outlineLevel="0" collapsed="false">
      <c r="A43" s="46" t="n">
        <v>42</v>
      </c>
      <c r="B43" s="46" t="s">
        <v>541</v>
      </c>
      <c r="C43" s="34" t="s">
        <v>470</v>
      </c>
      <c r="D43" s="46" t="s">
        <v>570</v>
      </c>
      <c r="E43" s="34" t="s">
        <v>571</v>
      </c>
      <c r="F43" s="47" t="n">
        <v>1</v>
      </c>
      <c r="G43" s="47" t="n">
        <v>108</v>
      </c>
      <c r="H43" s="46" t="str">
        <f aca="false">IF(G43="","Not in list",IFERROR(INDEX(Components!$K$2:$K$158,MATCH(G43,Components!$A$2:$A$158,0)),"Not in list"))</f>
        <v>Awaiting delivery</v>
      </c>
      <c r="I43" s="34"/>
    </row>
    <row r="44" customFormat="false" ht="15" hidden="false" customHeight="false" outlineLevel="0" collapsed="false">
      <c r="A44" s="46" t="n">
        <v>43</v>
      </c>
      <c r="B44" s="46" t="s">
        <v>541</v>
      </c>
      <c r="C44" s="34" t="s">
        <v>470</v>
      </c>
      <c r="D44" s="46" t="s">
        <v>572</v>
      </c>
      <c r="E44" s="34" t="s">
        <v>573</v>
      </c>
      <c r="F44" s="47" t="n">
        <v>1</v>
      </c>
      <c r="G44" s="47" t="n">
        <v>124</v>
      </c>
      <c r="H44" s="46" t="str">
        <f aca="false">IF(G44="","Not in list",IFERROR(INDEX(Components!$K$2:$K$158,MATCH(G44,Components!$A$2:$A$158,0)),"Not in list"))</f>
        <v>Awaiting delivery</v>
      </c>
      <c r="I44" s="34"/>
    </row>
    <row r="45" customFormat="false" ht="15" hidden="false" customHeight="false" outlineLevel="0" collapsed="false">
      <c r="A45" s="46" t="n">
        <v>44</v>
      </c>
      <c r="B45" s="46" t="s">
        <v>541</v>
      </c>
      <c r="C45" s="34" t="s">
        <v>470</v>
      </c>
      <c r="D45" s="46" t="s">
        <v>574</v>
      </c>
      <c r="E45" s="34" t="s">
        <v>575</v>
      </c>
      <c r="F45" s="47" t="n">
        <v>1</v>
      </c>
      <c r="G45" s="47" t="n">
        <v>126</v>
      </c>
      <c r="H45" s="46" t="str">
        <f aca="false">IF(G45="","Not in list",IFERROR(INDEX(Components!$K$2:$K$158,MATCH(G45,Components!$A$2:$A$158,0)),"Not in list"))</f>
        <v>Awaiting delivery</v>
      </c>
      <c r="I45" s="34"/>
    </row>
    <row r="46" customFormat="false" ht="15" hidden="false" customHeight="false" outlineLevel="0" collapsed="false">
      <c r="A46" s="46" t="n">
        <v>45</v>
      </c>
      <c r="B46" s="46" t="s">
        <v>541</v>
      </c>
      <c r="C46" s="34" t="s">
        <v>576</v>
      </c>
      <c r="D46" s="46" t="s">
        <v>577</v>
      </c>
      <c r="E46" s="34" t="s">
        <v>578</v>
      </c>
      <c r="F46" s="47" t="n">
        <v>1</v>
      </c>
      <c r="G46" s="47" t="n">
        <v>127</v>
      </c>
      <c r="H46" s="46" t="str">
        <f aca="false">IF(G46="","Not in list",IFERROR(INDEX(Components!$K$2:$K$158,MATCH(G46,Components!$A$2:$A$158,0)),"Not in list"))</f>
        <v>Awaiting delivery</v>
      </c>
      <c r="I46" s="34"/>
    </row>
    <row r="47" customFormat="false" ht="15" hidden="false" customHeight="false" outlineLevel="0" collapsed="false">
      <c r="A47" s="46" t="n">
        <v>46</v>
      </c>
      <c r="B47" s="46" t="s">
        <v>579</v>
      </c>
      <c r="C47" s="34" t="s">
        <v>580</v>
      </c>
      <c r="D47" s="46" t="s">
        <v>581</v>
      </c>
      <c r="E47" s="34" t="s">
        <v>582</v>
      </c>
      <c r="F47" s="47" t="n">
        <v>1</v>
      </c>
      <c r="G47" s="47" t="n">
        <v>133</v>
      </c>
      <c r="H47" s="46" t="str">
        <f aca="false">IF(G47="","Not in list",IFERROR(INDEX(Components!$K$2:$K$158,MATCH(G47,Components!$A$2:$A$158,0)),"Not in list"))</f>
        <v>Ordered</v>
      </c>
      <c r="I47" s="34"/>
    </row>
    <row r="48" customFormat="false" ht="26.85" hidden="false" customHeight="false" outlineLevel="0" collapsed="false">
      <c r="A48" s="46" t="n">
        <v>47</v>
      </c>
      <c r="B48" s="46" t="s">
        <v>579</v>
      </c>
      <c r="C48" s="34" t="s">
        <v>583</v>
      </c>
      <c r="D48" s="46" t="s">
        <v>584</v>
      </c>
      <c r="E48" s="34" t="s">
        <v>585</v>
      </c>
      <c r="F48" s="47" t="n">
        <v>1</v>
      </c>
      <c r="G48" s="47" t="n">
        <v>94</v>
      </c>
      <c r="H48" s="46" t="str">
        <f aca="false">IF(G48="","Not in list",IFERROR(INDEX(Components!$K$2:$K$158,MATCH(G48,Components!$A$2:$A$158,0)),"Not in list"))</f>
        <v>Awaiting delivery</v>
      </c>
      <c r="I48" s="34"/>
    </row>
    <row r="49" customFormat="false" ht="15" hidden="false" customHeight="false" outlineLevel="0" collapsed="false">
      <c r="A49" s="46" t="n">
        <v>48</v>
      </c>
      <c r="B49" s="46" t="s">
        <v>579</v>
      </c>
      <c r="C49" s="34" t="s">
        <v>586</v>
      </c>
      <c r="D49" s="46" t="s">
        <v>587</v>
      </c>
      <c r="E49" s="34" t="s">
        <v>588</v>
      </c>
      <c r="F49" s="47" t="n">
        <v>2</v>
      </c>
      <c r="G49" s="47" t="n">
        <v>82</v>
      </c>
      <c r="H49" s="46" t="str">
        <f aca="false">IF(G49="","Not in list",IFERROR(INDEX(Components!$K$2:$K$158,MATCH(G49,Components!$A$2:$A$158,0)),"Not in list"))</f>
        <v>Processing</v>
      </c>
      <c r="I49" s="34"/>
    </row>
    <row r="50" customFormat="false" ht="15" hidden="false" customHeight="false" outlineLevel="0" collapsed="false">
      <c r="A50" s="46" t="n">
        <v>49</v>
      </c>
      <c r="B50" s="46" t="s">
        <v>579</v>
      </c>
      <c r="C50" s="34" t="s">
        <v>589</v>
      </c>
      <c r="D50" s="46" t="s">
        <v>590</v>
      </c>
      <c r="E50" s="34" t="s">
        <v>591</v>
      </c>
      <c r="F50" s="47" t="n">
        <v>1</v>
      </c>
      <c r="G50" s="47" t="n">
        <v>89</v>
      </c>
      <c r="H50" s="46" t="str">
        <f aca="false">IF(G50="","Not in list",IFERROR(INDEX(Components!$K$2:$K$158,MATCH(G50,Components!$A$2:$A$158,0)),"Not in list"))</f>
        <v>Processing</v>
      </c>
      <c r="I50" s="34"/>
    </row>
    <row r="51" customFormat="false" ht="15" hidden="false" customHeight="false" outlineLevel="0" collapsed="false">
      <c r="A51" s="46" t="n">
        <v>50</v>
      </c>
      <c r="B51" s="46" t="s">
        <v>579</v>
      </c>
      <c r="C51" s="34" t="s">
        <v>592</v>
      </c>
      <c r="D51" s="46" t="s">
        <v>326</v>
      </c>
      <c r="E51" s="34" t="s">
        <v>593</v>
      </c>
      <c r="F51" s="47" t="n">
        <v>1</v>
      </c>
      <c r="G51" s="47" t="n">
        <v>88</v>
      </c>
      <c r="H51" s="46" t="str">
        <f aca="false">IF(G51="","Not in list",IFERROR(INDEX(Components!$K$2:$K$158,MATCH(G51,Components!$A$2:$A$158,0)),"Not in list"))</f>
        <v>Awaiting delivery</v>
      </c>
      <c r="I51" s="34"/>
    </row>
    <row r="52" customFormat="false" ht="15" hidden="false" customHeight="false" outlineLevel="0" collapsed="false">
      <c r="A52" s="46" t="n">
        <v>51</v>
      </c>
      <c r="B52" s="46" t="s">
        <v>579</v>
      </c>
      <c r="C52" s="34" t="s">
        <v>15</v>
      </c>
      <c r="D52" s="46" t="s">
        <v>237</v>
      </c>
      <c r="E52" s="34" t="s">
        <v>594</v>
      </c>
      <c r="F52" s="47" t="n">
        <v>3</v>
      </c>
      <c r="G52" s="47" t="n">
        <v>34</v>
      </c>
      <c r="H52" s="46" t="str">
        <f aca="false">IF(G52="","Not in list",IFERROR(INDEX(Components!$K$2:$K$158,MATCH(G52,Components!$A$2:$A$158,0)),"Not in list"))</f>
        <v>Awaiting delivery</v>
      </c>
      <c r="I52" s="34"/>
    </row>
    <row r="53" customFormat="false" ht="15" hidden="false" customHeight="false" outlineLevel="0" collapsed="false">
      <c r="A53" s="46" t="n">
        <v>52</v>
      </c>
      <c r="B53" s="46" t="s">
        <v>579</v>
      </c>
      <c r="C53" s="34" t="s">
        <v>595</v>
      </c>
      <c r="D53" s="46" t="s">
        <v>596</v>
      </c>
      <c r="E53" s="34" t="s">
        <v>595</v>
      </c>
      <c r="F53" s="47" t="n">
        <v>1</v>
      </c>
      <c r="G53" s="47" t="n">
        <v>79</v>
      </c>
      <c r="H53" s="46" t="str">
        <f aca="false">IF(G53="","Not in list",IFERROR(INDEX(Components!$K$2:$K$158,MATCH(G53,Components!$A$2:$A$158,0)),"Not in list"))</f>
        <v>Awaiting delivery</v>
      </c>
      <c r="I53" s="34"/>
    </row>
    <row r="54" customFormat="false" ht="15" hidden="false" customHeight="false" outlineLevel="0" collapsed="false">
      <c r="A54" s="46" t="n">
        <v>53</v>
      </c>
      <c r="B54" s="46" t="s">
        <v>579</v>
      </c>
      <c r="C54" s="34" t="s">
        <v>597</v>
      </c>
      <c r="D54" s="46" t="s">
        <v>598</v>
      </c>
      <c r="E54" s="34" t="s">
        <v>599</v>
      </c>
      <c r="F54" s="47" t="n">
        <v>1</v>
      </c>
      <c r="G54" s="47" t="n">
        <v>132</v>
      </c>
      <c r="H54" s="46" t="str">
        <f aca="false">IF(G54="","Not in list",IFERROR(INDEX(Components!$K$2:$K$158,MATCH(G54,Components!$A$2:$A$158,0)),"Not in list"))</f>
        <v>Awaiting delivery</v>
      </c>
      <c r="I54" s="34"/>
    </row>
    <row r="55" customFormat="false" ht="15" hidden="false" customHeight="false" outlineLevel="0" collapsed="false">
      <c r="A55" s="46" t="n">
        <v>54</v>
      </c>
      <c r="B55" s="46" t="s">
        <v>579</v>
      </c>
      <c r="C55" s="34" t="s">
        <v>36</v>
      </c>
      <c r="D55" s="46" t="s">
        <v>391</v>
      </c>
      <c r="E55" s="34" t="s">
        <v>600</v>
      </c>
      <c r="F55" s="47" t="n">
        <v>1</v>
      </c>
      <c r="G55" s="47" t="n">
        <v>129</v>
      </c>
      <c r="H55" s="46" t="str">
        <f aca="false">IF(G55="","Not in list",IFERROR(INDEX(Components!$K$2:$K$158,MATCH(G55,Components!$A$2:$A$158,0)),"Not in list"))</f>
        <v>Awaiting delivery</v>
      </c>
      <c r="I55" s="34"/>
    </row>
    <row r="56" customFormat="false" ht="26.85" hidden="false" customHeight="false" outlineLevel="0" collapsed="false">
      <c r="A56" s="46" t="n">
        <v>55</v>
      </c>
      <c r="B56" s="46" t="s">
        <v>579</v>
      </c>
      <c r="C56" s="34" t="s">
        <v>601</v>
      </c>
      <c r="D56" s="46" t="s">
        <v>602</v>
      </c>
      <c r="E56" s="34" t="s">
        <v>603</v>
      </c>
      <c r="F56" s="47" t="n">
        <v>2</v>
      </c>
      <c r="G56" s="47"/>
      <c r="H56" s="46" t="str">
        <f aca="false">IF(G56="","Not in list",IFERROR(INDEX(Components!$K$2:$K$158,MATCH(G56,Components!$A$2:$A$158,0)),"Not in list"))</f>
        <v>Not in list</v>
      </c>
      <c r="I56" s="34"/>
    </row>
    <row r="58" customFormat="false" ht="15" hidden="false" customHeight="false" outlineLevel="0" collapsed="false">
      <c r="B58" s="48" t="s">
        <v>604</v>
      </c>
    </row>
    <row r="59" customFormat="false" ht="15" hidden="false" customHeight="false" outlineLevel="0" collapsed="false">
      <c r="B59" s="48" t="s">
        <v>605</v>
      </c>
    </row>
  </sheetData>
  <autoFilter ref="A1:I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2026-10-11T20:29:22Z</dcterms:created>
  <dc:creator>openpyxl</dc:creator>
  <dc:description/>
  <dc:language>en-US</dc:language>
  <cp:lastModifiedBy/>
  <dcterms:modified xsi:type="dcterms:W3CDTF">2026-10-17T08:35:02Z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